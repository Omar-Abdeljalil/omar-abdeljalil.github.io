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atuniversity-my.sharepoint.com/personal/23110604_htu_edu_jo/Documents/Desktop/Manufacturig Systems/"/>
    </mc:Choice>
  </mc:AlternateContent>
  <xr:revisionPtr revIDLastSave="120" documentId="13_ncr:1_{A6DAE103-7A49-4D69-A02F-45880F024740}" xr6:coauthVersionLast="47" xr6:coauthVersionMax="47" xr10:uidLastSave="{FF0BB935-39F0-405D-95DA-0167AEE205BA}"/>
  <bookViews>
    <workbookView xWindow="-108" yWindow="-108" windowWidth="23256" windowHeight="12576" tabRatio="580" xr2:uid="{00000000-000D-0000-FFFF-FFFF00000000}"/>
  </bookViews>
  <sheets>
    <sheet name="VS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8" i="1" l="1"/>
  <c r="AH36" i="1"/>
  <c r="AH37" i="1" s="1"/>
  <c r="AH35" i="1"/>
  <c r="A34" i="1"/>
</calcChain>
</file>

<file path=xl/sharedStrings.xml><?xml version="1.0" encoding="utf-8"?>
<sst xmlns="http://schemas.openxmlformats.org/spreadsheetml/2006/main" count="85" uniqueCount="40">
  <si>
    <t>min</t>
  </si>
  <si>
    <t>Lead Time</t>
  </si>
  <si>
    <t>process Time</t>
  </si>
  <si>
    <t>activity</t>
  </si>
  <si>
    <t xml:space="preserve">1 min </t>
  </si>
  <si>
    <t xml:space="preserve">20 min </t>
  </si>
  <si>
    <t># Shift</t>
  </si>
  <si>
    <t># Operators</t>
  </si>
  <si>
    <t>5 min</t>
  </si>
  <si>
    <t xml:space="preserve"> </t>
  </si>
  <si>
    <t>20 min</t>
  </si>
  <si>
    <t xml:space="preserve"># OF Worker </t>
  </si>
  <si>
    <t xml:space="preserve">Process Time </t>
  </si>
  <si>
    <t xml:space="preserve">lead time </t>
  </si>
  <si>
    <t xml:space="preserve">cycle time </t>
  </si>
  <si>
    <t xml:space="preserve">5 min </t>
  </si>
  <si>
    <t>1.25 min</t>
  </si>
  <si>
    <t>1 min</t>
  </si>
  <si>
    <t>303 min</t>
  </si>
  <si>
    <t>304 min</t>
  </si>
  <si>
    <t xml:space="preserve">1.5 min </t>
  </si>
  <si>
    <t xml:space="preserve">20 Min </t>
  </si>
  <si>
    <t>21.5 min</t>
  </si>
  <si>
    <t xml:space="preserve">8 min </t>
  </si>
  <si>
    <t>90 min</t>
  </si>
  <si>
    <t xml:space="preserve">90 min </t>
  </si>
  <si>
    <t>98min</t>
  </si>
  <si>
    <t xml:space="preserve">6.2 min </t>
  </si>
  <si>
    <t>7.2 min</t>
  </si>
  <si>
    <t xml:space="preserve">1min </t>
  </si>
  <si>
    <t>30  min</t>
  </si>
  <si>
    <t xml:space="preserve">30 min  </t>
  </si>
  <si>
    <t>3.5 min</t>
  </si>
  <si>
    <t>15 min</t>
  </si>
  <si>
    <t>18.5 min</t>
  </si>
  <si>
    <t xml:space="preserve">70 min </t>
  </si>
  <si>
    <t xml:space="preserve">6  min </t>
  </si>
  <si>
    <t xml:space="preserve">35 min </t>
  </si>
  <si>
    <t xml:space="preserve">41 min </t>
  </si>
  <si>
    <t xml:space="preserve">6min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</si>
</sst>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Times New Roman"/>
      <family val="1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20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0" fontId="0" fillId="0" borderId="0" xfId="0" applyNumberFormat="1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0" fontId="0" fillId="0" borderId="1" xfId="0" applyBorder="1" applyProtection="1">
      <protection locked="0"/>
    </xf>
    <xf numFmtId="0" fontId="0" fillId="0" borderId="2" xfId="0" applyBorder="1"/>
    <xf numFmtId="0" fontId="0" fillId="0" borderId="4" xfId="0" applyBorder="1"/>
    <xf numFmtId="0" fontId="1" fillId="0" borderId="3" xfId="0" applyFont="1" applyBorder="1" applyAlignment="1" applyProtection="1">
      <alignment horizontal="center"/>
      <protection locked="0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4" xfId="0" applyBorder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right"/>
    </xf>
    <xf numFmtId="0" fontId="0" fillId="0" borderId="3" xfId="0" applyBorder="1" applyAlignment="1" applyProtection="1">
      <alignment horizontal="center"/>
      <protection locked="0"/>
    </xf>
    <xf numFmtId="10" fontId="0" fillId="0" borderId="4" xfId="0" applyNumberFormat="1" applyBorder="1" applyAlignment="1" applyProtection="1">
      <alignment horizontal="center"/>
      <protection locked="0"/>
    </xf>
    <xf numFmtId="0" fontId="0" fillId="0" borderId="5" xfId="0" applyBorder="1"/>
    <xf numFmtId="0" fontId="0" fillId="0" borderId="2" xfId="0" applyBorder="1" applyProtection="1">
      <protection locked="0"/>
    </xf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3" fillId="0" borderId="4" xfId="0" applyFont="1" applyBorder="1"/>
    <xf numFmtId="0" fontId="3" fillId="0" borderId="6" xfId="0" applyFont="1" applyBorder="1"/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962862</xdr:colOff>
      <xdr:row>8</xdr:row>
      <xdr:rowOff>109387</xdr:rowOff>
    </xdr:from>
    <xdr:to>
      <xdr:col>39</xdr:col>
      <xdr:colOff>89575</xdr:colOff>
      <xdr:row>13</xdr:row>
      <xdr:rowOff>129970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29048005" y="1602285"/>
          <a:ext cx="3325488" cy="953644"/>
          <a:chOff x="4267199" y="2418750"/>
          <a:chExt cx="1087582" cy="795770"/>
        </a:xfrm>
      </xdr:grpSpPr>
      <xdr:pic>
        <xdr:nvPicPr>
          <xdr:cNvPr id="3" name="Picture 2" descr="VSM-Icons_Outside-SourcesTra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25" t="4494" r="3540" b="4494"/>
          <a:stretch>
            <a:fillRect/>
          </a:stretch>
        </xdr:blipFill>
        <xdr:spPr bwMode="auto">
          <a:xfrm>
            <a:off x="4267199" y="2418750"/>
            <a:ext cx="1087582" cy="7957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TextBox 37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4267200" y="2790965"/>
            <a:ext cx="1039245" cy="25028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050" b="1"/>
              <a:t>Customer</a:t>
            </a:r>
          </a:p>
        </xdr:txBody>
      </xdr:sp>
    </xdr:grpSp>
    <xdr:clientData/>
  </xdr:twoCellAnchor>
  <xdr:twoCellAnchor>
    <xdr:from>
      <xdr:col>15</xdr:col>
      <xdr:colOff>412750</xdr:colOff>
      <xdr:row>1</xdr:row>
      <xdr:rowOff>159959</xdr:rowOff>
    </xdr:from>
    <xdr:to>
      <xdr:col>17</xdr:col>
      <xdr:colOff>431800</xdr:colOff>
      <xdr:row>5</xdr:row>
      <xdr:rowOff>119744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>
          <a:grpSpLocks/>
        </xdr:cNvGrpSpPr>
      </xdr:nvGrpSpPr>
      <xdr:grpSpPr bwMode="auto">
        <a:xfrm>
          <a:off x="11764995" y="346571"/>
          <a:ext cx="1418642" cy="706234"/>
          <a:chOff x="1828800" y="2463436"/>
          <a:chExt cx="1676400" cy="965565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7" name="TextBox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853333" y="2533115"/>
            <a:ext cx="1602802" cy="66865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/>
              <a:t>control</a:t>
            </a:r>
            <a:r>
              <a:rPr lang="en-US" sz="1200" b="1" baseline="0"/>
              <a:t> </a:t>
            </a:r>
          </a:p>
          <a:p>
            <a:pPr algn="ctr"/>
            <a:r>
              <a:rPr lang="en-US" sz="1200" b="1" baseline="0"/>
              <a:t>unit</a:t>
            </a:r>
            <a:endParaRPr lang="en-US" sz="1200" b="1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194609</xdr:colOff>
      <xdr:row>4</xdr:row>
      <xdr:rowOff>82550</xdr:rowOff>
    </xdr:from>
    <xdr:to>
      <xdr:col>2</xdr:col>
      <xdr:colOff>69850</xdr:colOff>
      <xdr:row>9</xdr:row>
      <xdr:rowOff>76200</xdr:rowOff>
    </xdr:to>
    <xdr:grpSp>
      <xdr:nvGrpSpPr>
        <xdr:cNvPr id="9" name="Group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>
          <a:grpSpLocks/>
        </xdr:cNvGrpSpPr>
      </xdr:nvGrpSpPr>
      <xdr:grpSpPr bwMode="auto">
        <a:xfrm>
          <a:off x="194609" y="828999"/>
          <a:ext cx="1321486" cy="926711"/>
          <a:chOff x="4252230" y="2418750"/>
          <a:chExt cx="1102552" cy="795770"/>
        </a:xfrm>
      </xdr:grpSpPr>
      <xdr:pic>
        <xdr:nvPicPr>
          <xdr:cNvPr id="10" name="Picture 2" descr="VSM-Icons_Outside-SourcesTra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25" t="4494" r="3540" b="4494"/>
          <a:stretch>
            <a:fillRect/>
          </a:stretch>
        </xdr:blipFill>
        <xdr:spPr bwMode="auto">
          <a:xfrm>
            <a:off x="4267200" y="2418750"/>
            <a:ext cx="1087582" cy="7957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" name="TextBox 37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4252230" y="2524812"/>
            <a:ext cx="1039245" cy="22462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050" b="1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0</xdr:col>
      <xdr:colOff>203200</xdr:colOff>
      <xdr:row>10</xdr:row>
      <xdr:rowOff>120650</xdr:rowOff>
    </xdr:from>
    <xdr:to>
      <xdr:col>1</xdr:col>
      <xdr:colOff>319641</xdr:colOff>
      <xdr:row>13</xdr:row>
      <xdr:rowOff>158750</xdr:rowOff>
    </xdr:to>
    <xdr:pic>
      <xdr:nvPicPr>
        <xdr:cNvPr id="12" name="Picture 30" descr="VSM-Icons_Truck-Shipment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0" t="13792" r="4425" b="12643"/>
        <a:stretch>
          <a:fillRect/>
        </a:stretch>
      </xdr:blipFill>
      <xdr:spPr bwMode="auto">
        <a:xfrm>
          <a:off x="203200" y="1962150"/>
          <a:ext cx="9969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258792</xdr:colOff>
      <xdr:row>5</xdr:row>
      <xdr:rowOff>89648</xdr:rowOff>
    </xdr:from>
    <xdr:to>
      <xdr:col>16</xdr:col>
      <xdr:colOff>448237</xdr:colOff>
      <xdr:row>20</xdr:row>
      <xdr:rowOff>143775</xdr:rowOff>
    </xdr:to>
    <xdr:sp macro="" textlink="">
      <xdr:nvSpPr>
        <xdr:cNvPr id="29" name="Line 3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ShapeType="1"/>
        </xdr:cNvSpPr>
      </xdr:nvSpPr>
      <xdr:spPr bwMode="auto">
        <a:xfrm rot="-5400000" flipH="1" flipV="1">
          <a:off x="5775470" y="-2134615"/>
          <a:ext cx="2857712" cy="917529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</xdr:row>
      <xdr:rowOff>119717</xdr:rowOff>
    </xdr:from>
    <xdr:to>
      <xdr:col>2</xdr:col>
      <xdr:colOff>329259</xdr:colOff>
      <xdr:row>8</xdr:row>
      <xdr:rowOff>42440</xdr:rowOff>
    </xdr:to>
    <xdr:sp macro="" textlink="">
      <xdr:nvSpPr>
        <xdr:cNvPr id="32" name="TextBox 5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 bwMode="auto">
        <a:xfrm>
          <a:off x="0" y="1192161"/>
          <a:ext cx="1552222" cy="280205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/>
            <a:t>supplier</a:t>
          </a:r>
        </a:p>
      </xdr:txBody>
    </xdr:sp>
    <xdr:clientData/>
  </xdr:twoCellAnchor>
  <xdr:twoCellAnchor>
    <xdr:from>
      <xdr:col>2</xdr:col>
      <xdr:colOff>55824</xdr:colOff>
      <xdr:row>4</xdr:row>
      <xdr:rowOff>35226</xdr:rowOff>
    </xdr:from>
    <xdr:to>
      <xdr:col>15</xdr:col>
      <xdr:colOff>428535</xdr:colOff>
      <xdr:row>8</xdr:row>
      <xdr:rowOff>1321</xdr:rowOff>
    </xdr:to>
    <xdr:sp macro="" textlink="">
      <xdr:nvSpPr>
        <xdr:cNvPr id="34" name="Freeform 3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/>
        </xdr:cNvSpPr>
      </xdr:nvSpPr>
      <xdr:spPr bwMode="auto">
        <a:xfrm rot="16016796" flipV="1">
          <a:off x="6056308" y="-3783847"/>
          <a:ext cx="683272" cy="9755770"/>
        </a:xfrm>
        <a:custGeom>
          <a:avLst/>
          <a:gdLst>
            <a:gd name="T0" fmla="*/ 2147483646 w 21"/>
            <a:gd name="T1" fmla="*/ 0 h 347"/>
            <a:gd name="T2" fmla="*/ 0 w 21"/>
            <a:gd name="T3" fmla="*/ 2147483646 h 347"/>
            <a:gd name="T4" fmla="*/ 2147483646 w 21"/>
            <a:gd name="T5" fmla="*/ 2147483646 h 347"/>
            <a:gd name="T6" fmla="*/ 2147483646 w 21"/>
            <a:gd name="T7" fmla="*/ 2147483646 h 347"/>
            <a:gd name="T8" fmla="*/ 0 60000 65536"/>
            <a:gd name="T9" fmla="*/ 0 60000 65536"/>
            <a:gd name="T10" fmla="*/ 0 60000 65536"/>
            <a:gd name="T11" fmla="*/ 0 60000 65536"/>
            <a:gd name="T12" fmla="*/ 0 w 21"/>
            <a:gd name="T13" fmla="*/ 0 h 347"/>
            <a:gd name="T14" fmla="*/ 21 w 21"/>
            <a:gd name="T15" fmla="*/ 347 h 34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" h="347">
              <a:moveTo>
                <a:pt x="18" y="0"/>
              </a:moveTo>
              <a:cubicBezTo>
                <a:pt x="9" y="66"/>
                <a:pt x="0" y="132"/>
                <a:pt x="0" y="162"/>
              </a:cubicBezTo>
              <a:cubicBezTo>
                <a:pt x="0" y="192"/>
                <a:pt x="15" y="148"/>
                <a:pt x="18" y="179"/>
              </a:cubicBezTo>
              <a:cubicBezTo>
                <a:pt x="21" y="210"/>
                <a:pt x="19" y="278"/>
                <a:pt x="17" y="347"/>
              </a:cubicBezTo>
            </a:path>
          </a:pathLst>
        </a:custGeom>
        <a:noFill/>
        <a:ln w="38100" cap="flat" cmpd="sng">
          <a:solidFill>
            <a:srgbClr val="000000"/>
          </a:solidFill>
          <a:prstDash val="solid"/>
          <a:round/>
          <a:headEnd type="none" w="med" len="med"/>
          <a:tailEnd type="triangle" w="lg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249000</xdr:colOff>
      <xdr:row>27</xdr:row>
      <xdr:rowOff>164086</xdr:rowOff>
    </xdr:from>
    <xdr:to>
      <xdr:col>17</xdr:col>
      <xdr:colOff>342722</xdr:colOff>
      <xdr:row>27</xdr:row>
      <xdr:rowOff>167496</xdr:rowOff>
    </xdr:to>
    <xdr:sp macro="" textlink="">
      <xdr:nvSpPr>
        <xdr:cNvPr id="140" name="Line 48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ShapeType="1"/>
        </xdr:cNvSpPr>
      </xdr:nvSpPr>
      <xdr:spPr bwMode="auto">
        <a:xfrm>
          <a:off x="12397868" y="5210539"/>
          <a:ext cx="697571" cy="3410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577778</xdr:colOff>
      <xdr:row>14</xdr:row>
      <xdr:rowOff>10490</xdr:rowOff>
    </xdr:from>
    <xdr:to>
      <xdr:col>1</xdr:col>
      <xdr:colOff>359435</xdr:colOff>
      <xdr:row>20</xdr:row>
      <xdr:rowOff>86264</xdr:rowOff>
    </xdr:to>
    <xdr:sp macro="" textlink="">
      <xdr:nvSpPr>
        <xdr:cNvPr id="157" name="Line 48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ShapeType="1"/>
        </xdr:cNvSpPr>
      </xdr:nvSpPr>
      <xdr:spPr bwMode="auto">
        <a:xfrm>
          <a:off x="577778" y="2627169"/>
          <a:ext cx="658676" cy="1197208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34</xdr:col>
      <xdr:colOff>819797</xdr:colOff>
      <xdr:row>19</xdr:row>
      <xdr:rowOff>75680</xdr:rowOff>
    </xdr:from>
    <xdr:to>
      <xdr:col>35</xdr:col>
      <xdr:colOff>801080</xdr:colOff>
      <xdr:row>22</xdr:row>
      <xdr:rowOff>115631</xdr:rowOff>
    </xdr:to>
    <xdr:pic>
      <xdr:nvPicPr>
        <xdr:cNvPr id="159" name="Picture 30" descr="VSM-Icons_Truck-Shipment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0" t="13792" r="4425" b="12643"/>
        <a:stretch>
          <a:fillRect/>
        </a:stretch>
      </xdr:blipFill>
      <xdr:spPr bwMode="auto">
        <a:xfrm>
          <a:off x="26602537" y="3645598"/>
          <a:ext cx="972927" cy="6036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450850</xdr:colOff>
      <xdr:row>34</xdr:row>
      <xdr:rowOff>100642</xdr:rowOff>
    </xdr:from>
    <xdr:to>
      <xdr:col>4</xdr:col>
      <xdr:colOff>219074</xdr:colOff>
      <xdr:row>35</xdr:row>
      <xdr:rowOff>82551</xdr:rowOff>
    </xdr:to>
    <xdr:grpSp>
      <xdr:nvGrpSpPr>
        <xdr:cNvPr id="160" name="Group 34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GrpSpPr>
          <a:grpSpLocks/>
        </xdr:cNvGrpSpPr>
      </xdr:nvGrpSpPr>
      <xdr:grpSpPr bwMode="auto">
        <a:xfrm>
          <a:off x="1321707" y="6445458"/>
          <a:ext cx="2085326" cy="184073"/>
          <a:chOff x="5143500" y="4914900"/>
          <a:chExt cx="1295400" cy="228600"/>
        </a:xfrm>
      </xdr:grpSpPr>
      <xdr:cxnSp macro="">
        <xdr:nvCxnSpPr>
          <xdr:cNvPr id="161" name="Straight Connector 160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Straight Connector 161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3" name="Straight Connector 162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295215</xdr:colOff>
      <xdr:row>34</xdr:row>
      <xdr:rowOff>21403</xdr:rowOff>
    </xdr:from>
    <xdr:to>
      <xdr:col>20</xdr:col>
      <xdr:colOff>376344</xdr:colOff>
      <xdr:row>34</xdr:row>
      <xdr:rowOff>21403</xdr:rowOff>
    </xdr:to>
    <xdr:cxnSp macro="">
      <xdr:nvCxnSpPr>
        <xdr:cNvPr id="164" name="Straight Connector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CxnSpPr/>
      </xdr:nvCxnSpPr>
      <xdr:spPr>
        <a:xfrm rot="10800000" flipV="1">
          <a:off x="11268015" y="6834953"/>
          <a:ext cx="1300329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34</xdr:row>
      <xdr:rowOff>6350</xdr:rowOff>
    </xdr:from>
    <xdr:to>
      <xdr:col>9</xdr:col>
      <xdr:colOff>0</xdr:colOff>
      <xdr:row>35</xdr:row>
      <xdr:rowOff>82550</xdr:rowOff>
    </xdr:to>
    <xdr:grpSp>
      <xdr:nvGrpSpPr>
        <xdr:cNvPr id="165" name="Group 3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GrpSpPr>
          <a:grpSpLocks/>
        </xdr:cNvGrpSpPr>
      </xdr:nvGrpSpPr>
      <xdr:grpSpPr bwMode="auto">
        <a:xfrm>
          <a:off x="4753947" y="6351166"/>
          <a:ext cx="2119604" cy="278364"/>
          <a:chOff x="5143500" y="4914900"/>
          <a:chExt cx="1295400" cy="228600"/>
        </a:xfrm>
      </xdr:grpSpPr>
      <xdr:cxnSp macro="">
        <xdr:nvCxnSpPr>
          <xdr:cNvPr id="166" name="Straight Connector 165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7" name="Straight Connector 166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8" name="Straight Connector 167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87097</xdr:colOff>
      <xdr:row>34</xdr:row>
      <xdr:rowOff>13048</xdr:rowOff>
    </xdr:from>
    <xdr:to>
      <xdr:col>13</xdr:col>
      <xdr:colOff>487147</xdr:colOff>
      <xdr:row>35</xdr:row>
      <xdr:rowOff>86414</xdr:rowOff>
    </xdr:to>
    <xdr:grpSp>
      <xdr:nvGrpSpPr>
        <xdr:cNvPr id="169" name="Group 34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GrpSpPr>
          <a:grpSpLocks/>
        </xdr:cNvGrpSpPr>
      </xdr:nvGrpSpPr>
      <xdr:grpSpPr bwMode="auto">
        <a:xfrm>
          <a:off x="8577954" y="6357864"/>
          <a:ext cx="1784091" cy="275530"/>
          <a:chOff x="5143500" y="4914900"/>
          <a:chExt cx="1295400" cy="228600"/>
        </a:xfrm>
      </xdr:grpSpPr>
      <xdr:cxnSp macro="">
        <xdr:nvCxnSpPr>
          <xdr:cNvPr id="170" name="Straight Connector 169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1" name="Straight Connector 170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552450</xdr:colOff>
      <xdr:row>34</xdr:row>
      <xdr:rowOff>6350</xdr:rowOff>
    </xdr:from>
    <xdr:to>
      <xdr:col>18</xdr:col>
      <xdr:colOff>311150</xdr:colOff>
      <xdr:row>35</xdr:row>
      <xdr:rowOff>82550</xdr:rowOff>
    </xdr:to>
    <xdr:grpSp>
      <xdr:nvGrpSpPr>
        <xdr:cNvPr id="173" name="Group 3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GrpSpPr>
          <a:grpSpLocks/>
        </xdr:cNvGrpSpPr>
      </xdr:nvGrpSpPr>
      <xdr:grpSpPr bwMode="auto">
        <a:xfrm>
          <a:off x="11904695" y="6351166"/>
          <a:ext cx="1764782" cy="278364"/>
          <a:chOff x="5143500" y="4914900"/>
          <a:chExt cx="1295400" cy="228600"/>
        </a:xfrm>
      </xdr:grpSpPr>
      <xdr:cxnSp macro="">
        <xdr:nvCxnSpPr>
          <xdr:cNvPr id="174" name="Straight Connector 173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5" name="Straight Connector 174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6" name="Straight Connector 175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241300</xdr:colOff>
      <xdr:row>34</xdr:row>
      <xdr:rowOff>0</xdr:rowOff>
    </xdr:from>
    <xdr:to>
      <xdr:col>6</xdr:col>
      <xdr:colOff>260350</xdr:colOff>
      <xdr:row>35</xdr:row>
      <xdr:rowOff>76200</xdr:rowOff>
    </xdr:to>
    <xdr:grpSp>
      <xdr:nvGrpSpPr>
        <xdr:cNvPr id="177" name="Group 3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GrpSpPr>
          <a:grpSpLocks/>
        </xdr:cNvGrpSpPr>
      </xdr:nvGrpSpPr>
      <xdr:grpSpPr bwMode="auto">
        <a:xfrm rot="10800000">
          <a:off x="3429259" y="6344816"/>
          <a:ext cx="1356438" cy="278364"/>
          <a:chOff x="5143500" y="4914900"/>
          <a:chExt cx="1295400" cy="228600"/>
        </a:xfrm>
      </xdr:grpSpPr>
      <xdr:cxnSp macro="">
        <xdr:nvCxnSpPr>
          <xdr:cNvPr id="178" name="Straight Connector 177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CxnSpPr/>
        </xdr:nvCxnSpPr>
        <xdr:spPr>
          <a:xfrm rot="5400000">
            <a:off x="5067114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CxnSpPr/>
        </xdr:nvCxnSpPr>
        <xdr:spPr>
          <a:xfrm rot="5400000">
            <a:off x="6362514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0" name="Straight Connector 179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CxnSpPr/>
        </xdr:nvCxnSpPr>
        <xdr:spPr>
          <a:xfrm flipV="1">
            <a:off x="5187733" y="5112608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19050</xdr:colOff>
      <xdr:row>34</xdr:row>
      <xdr:rowOff>6350</xdr:rowOff>
    </xdr:from>
    <xdr:to>
      <xdr:col>11</xdr:col>
      <xdr:colOff>120650</xdr:colOff>
      <xdr:row>35</xdr:row>
      <xdr:rowOff>76200</xdr:rowOff>
    </xdr:to>
    <xdr:grpSp>
      <xdr:nvGrpSpPr>
        <xdr:cNvPr id="181" name="Group 36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GrpSpPr>
          <a:grpSpLocks/>
        </xdr:cNvGrpSpPr>
      </xdr:nvGrpSpPr>
      <xdr:grpSpPr bwMode="auto">
        <a:xfrm rot="10800000">
          <a:off x="6892601" y="6351166"/>
          <a:ext cx="1718906" cy="272014"/>
          <a:chOff x="5143500" y="4914900"/>
          <a:chExt cx="1295400" cy="228600"/>
        </a:xfrm>
      </xdr:grpSpPr>
      <xdr:cxnSp macro="">
        <xdr:nvCxnSpPr>
          <xdr:cNvPr id="182" name="Straight Connector 181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CxnSpPr/>
        </xdr:nvCxnSpPr>
        <xdr:spPr>
          <a:xfrm rot="5400000">
            <a:off x="5064853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3" name="Straight Connector 182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CxnSpPr/>
        </xdr:nvCxnSpPr>
        <xdr:spPr>
          <a:xfrm rot="5400000">
            <a:off x="6366195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4" name="Straight Connector 1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CxnSpPr/>
        </xdr:nvCxnSpPr>
        <xdr:spPr>
          <a:xfrm flipV="1">
            <a:off x="5185095" y="5124450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455345</xdr:colOff>
      <xdr:row>34</xdr:row>
      <xdr:rowOff>1465</xdr:rowOff>
    </xdr:from>
    <xdr:to>
      <xdr:col>15</xdr:col>
      <xdr:colOff>547562</xdr:colOff>
      <xdr:row>35</xdr:row>
      <xdr:rowOff>73267</xdr:rowOff>
    </xdr:to>
    <xdr:grpSp>
      <xdr:nvGrpSpPr>
        <xdr:cNvPr id="185" name="Group 36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GrpSpPr>
          <a:grpSpLocks/>
        </xdr:cNvGrpSpPr>
      </xdr:nvGrpSpPr>
      <xdr:grpSpPr bwMode="auto">
        <a:xfrm rot="10800000">
          <a:off x="10330243" y="6346281"/>
          <a:ext cx="1569564" cy="273966"/>
          <a:chOff x="5186072" y="4901787"/>
          <a:chExt cx="1295400" cy="237342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CxnSpPr/>
        </xdr:nvCxnSpPr>
        <xdr:spPr>
          <a:xfrm rot="5400000">
            <a:off x="5093916" y="5016087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7" name="Straight Connector 186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CxnSpPr/>
        </xdr:nvCxnSpPr>
        <xdr:spPr>
          <a:xfrm rot="5400000">
            <a:off x="6355007" y="5024829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8" name="Straight Connector 187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CxnSpPr/>
        </xdr:nvCxnSpPr>
        <xdr:spPr>
          <a:xfrm flipV="1">
            <a:off x="5186072" y="5124450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178100</xdr:colOff>
      <xdr:row>15</xdr:row>
      <xdr:rowOff>126317</xdr:rowOff>
    </xdr:from>
    <xdr:to>
      <xdr:col>3</xdr:col>
      <xdr:colOff>142524</xdr:colOff>
      <xdr:row>17</xdr:row>
      <xdr:rowOff>75514</xdr:rowOff>
    </xdr:to>
    <xdr:sp macro="" textlink="">
      <xdr:nvSpPr>
        <xdr:cNvPr id="194" name="TextBox 5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/>
      </xdr:nvSpPr>
      <xdr:spPr bwMode="auto">
        <a:xfrm>
          <a:off x="787700" y="2902174"/>
          <a:ext cx="1183624" cy="31931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/>
            <a:t>5 Hour</a:t>
          </a:r>
          <a:r>
            <a:rPr lang="en-US" sz="1200" b="1" baseline="0"/>
            <a:t> </a:t>
          </a:r>
          <a:endParaRPr lang="en-US" sz="1200" b="1"/>
        </a:p>
      </xdr:txBody>
    </xdr:sp>
    <xdr:clientData/>
  </xdr:twoCellAnchor>
  <xdr:twoCellAnchor>
    <xdr:from>
      <xdr:col>0</xdr:col>
      <xdr:colOff>18083</xdr:colOff>
      <xdr:row>34</xdr:row>
      <xdr:rowOff>3012</xdr:rowOff>
    </xdr:from>
    <xdr:to>
      <xdr:col>1</xdr:col>
      <xdr:colOff>437736</xdr:colOff>
      <xdr:row>35</xdr:row>
      <xdr:rowOff>71782</xdr:rowOff>
    </xdr:to>
    <xdr:grpSp>
      <xdr:nvGrpSpPr>
        <xdr:cNvPr id="199" name="Group 34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GrpSpPr>
          <a:grpSpLocks/>
        </xdr:cNvGrpSpPr>
      </xdr:nvGrpSpPr>
      <xdr:grpSpPr bwMode="auto">
        <a:xfrm rot="10800000">
          <a:off x="18083" y="6347828"/>
          <a:ext cx="1290510" cy="270934"/>
          <a:chOff x="5143500" y="4914900"/>
          <a:chExt cx="1295400" cy="228600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1" name="Straight Connector 200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2" name="Straight Connector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40105</xdr:colOff>
      <xdr:row>38</xdr:row>
      <xdr:rowOff>170446</xdr:rowOff>
    </xdr:from>
    <xdr:to>
      <xdr:col>41</xdr:col>
      <xdr:colOff>250657</xdr:colOff>
      <xdr:row>39</xdr:row>
      <xdr:rowOff>20052</xdr:rowOff>
    </xdr:to>
    <xdr:sp macro="" textlink="">
      <xdr:nvSpPr>
        <xdr:cNvPr id="203" name="Line 48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ShapeType="1"/>
        </xdr:cNvSpPr>
      </xdr:nvSpPr>
      <xdr:spPr bwMode="auto">
        <a:xfrm flipV="1">
          <a:off x="40105" y="7088604"/>
          <a:ext cx="32455184" cy="30080"/>
        </a:xfrm>
        <a:prstGeom prst="line">
          <a:avLst/>
        </a:prstGeom>
        <a:noFill/>
        <a:ln w="152400">
          <a:solidFill>
            <a:schemeClr val="bg2">
              <a:lumMod val="75000"/>
            </a:schemeClr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369277</xdr:colOff>
      <xdr:row>34</xdr:row>
      <xdr:rowOff>28331</xdr:rowOff>
    </xdr:from>
    <xdr:to>
      <xdr:col>22</xdr:col>
      <xdr:colOff>770194</xdr:colOff>
      <xdr:row>35</xdr:row>
      <xdr:rowOff>104531</xdr:rowOff>
    </xdr:to>
    <xdr:grpSp>
      <xdr:nvGrpSpPr>
        <xdr:cNvPr id="703" name="Group 34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GrpSpPr>
          <a:grpSpLocks/>
        </xdr:cNvGrpSpPr>
      </xdr:nvGrpSpPr>
      <xdr:grpSpPr bwMode="auto">
        <a:xfrm>
          <a:off x="15469318" y="6373147"/>
          <a:ext cx="1613896" cy="278364"/>
          <a:chOff x="5143500" y="4914900"/>
          <a:chExt cx="1295400" cy="228600"/>
        </a:xfrm>
      </xdr:grpSpPr>
      <xdr:cxnSp macro="">
        <xdr:nvCxnSpPr>
          <xdr:cNvPr id="704" name="Straight Connector 703">
            <a:extLst>
              <a:ext uri="{FF2B5EF4-FFF2-40B4-BE49-F238E27FC236}">
                <a16:creationId xmlns:a16="http://schemas.microsoft.com/office/drawing/2014/main" id="{00000000-0008-0000-0000-0000C0020000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00000000-0008-0000-0000-0000C102000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6" name="Straight Connector 705">
            <a:extLst>
              <a:ext uri="{FF2B5EF4-FFF2-40B4-BE49-F238E27FC236}">
                <a16:creationId xmlns:a16="http://schemas.microsoft.com/office/drawing/2014/main" id="{00000000-0008-0000-0000-0000C2020000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201282</xdr:colOff>
      <xdr:row>5</xdr:row>
      <xdr:rowOff>104594</xdr:rowOff>
    </xdr:from>
    <xdr:to>
      <xdr:col>16</xdr:col>
      <xdr:colOff>388473</xdr:colOff>
      <xdr:row>20</xdr:row>
      <xdr:rowOff>143775</xdr:rowOff>
    </xdr:to>
    <xdr:sp macro="" textlink="">
      <xdr:nvSpPr>
        <xdr:cNvPr id="317" name="Line 30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ShapeType="1"/>
        </xdr:cNvSpPr>
      </xdr:nvSpPr>
      <xdr:spPr bwMode="auto">
        <a:xfrm rot="-5400000" flipH="1" flipV="1">
          <a:off x="8571023" y="720702"/>
          <a:ext cx="2842766" cy="3479606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287548</xdr:colOff>
      <xdr:row>5</xdr:row>
      <xdr:rowOff>90213</xdr:rowOff>
    </xdr:from>
    <xdr:to>
      <xdr:col>16</xdr:col>
      <xdr:colOff>460926</xdr:colOff>
      <xdr:row>20</xdr:row>
      <xdr:rowOff>129399</xdr:rowOff>
    </xdr:to>
    <xdr:sp macro="" textlink="">
      <xdr:nvSpPr>
        <xdr:cNvPr id="318" name="Line 30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ShapeType="1"/>
        </xdr:cNvSpPr>
      </xdr:nvSpPr>
      <xdr:spPr bwMode="auto">
        <a:xfrm rot="16200000" flipH="1" flipV="1">
          <a:off x="7241398" y="-695751"/>
          <a:ext cx="2842771" cy="6283756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805131</xdr:colOff>
      <xdr:row>5</xdr:row>
      <xdr:rowOff>111184</xdr:rowOff>
    </xdr:from>
    <xdr:to>
      <xdr:col>16</xdr:col>
      <xdr:colOff>419507</xdr:colOff>
      <xdr:row>20</xdr:row>
      <xdr:rowOff>115022</xdr:rowOff>
    </xdr:to>
    <xdr:sp macro="" textlink="">
      <xdr:nvSpPr>
        <xdr:cNvPr id="324" name="Line 30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ShapeType="1"/>
        </xdr:cNvSpPr>
      </xdr:nvSpPr>
      <xdr:spPr bwMode="auto">
        <a:xfrm rot="16200000" flipH="1" flipV="1">
          <a:off x="9811909" y="1901802"/>
          <a:ext cx="2807423" cy="109524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772438</xdr:colOff>
      <xdr:row>14</xdr:row>
      <xdr:rowOff>120313</xdr:rowOff>
    </xdr:from>
    <xdr:to>
      <xdr:col>36</xdr:col>
      <xdr:colOff>741947</xdr:colOff>
      <xdr:row>18</xdr:row>
      <xdr:rowOff>177451</xdr:rowOff>
    </xdr:to>
    <xdr:sp macro="" textlink="">
      <xdr:nvSpPr>
        <xdr:cNvPr id="325" name="Line 48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ShapeType="1"/>
        </xdr:cNvSpPr>
      </xdr:nvSpPr>
      <xdr:spPr bwMode="auto">
        <a:xfrm flipV="1">
          <a:off x="27546822" y="2750779"/>
          <a:ext cx="1222111" cy="808699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83004</xdr:colOff>
      <xdr:row>3</xdr:row>
      <xdr:rowOff>174172</xdr:rowOff>
    </xdr:from>
    <xdr:to>
      <xdr:col>6</xdr:col>
      <xdr:colOff>363039</xdr:colOff>
      <xdr:row>5</xdr:row>
      <xdr:rowOff>91263</xdr:rowOff>
    </xdr:to>
    <xdr:sp macro="" textlink="">
      <xdr:nvSpPr>
        <xdr:cNvPr id="326" name="TextBox 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/>
      </xdr:nvSpPr>
      <xdr:spPr bwMode="auto">
        <a:xfrm>
          <a:off x="2521404" y="717097"/>
          <a:ext cx="1499235" cy="279041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12</xdr:col>
      <xdr:colOff>261004</xdr:colOff>
      <xdr:row>29</xdr:row>
      <xdr:rowOff>1112</xdr:rowOff>
    </xdr:from>
    <xdr:to>
      <xdr:col>13</xdr:col>
      <xdr:colOff>371115</xdr:colOff>
      <xdr:row>29</xdr:row>
      <xdr:rowOff>4671</xdr:rowOff>
    </xdr:to>
    <xdr:sp macro="" textlink="">
      <xdr:nvSpPr>
        <xdr:cNvPr id="357" name="Line 48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ShapeType="1"/>
        </xdr:cNvSpPr>
      </xdr:nvSpPr>
      <xdr:spPr bwMode="auto">
        <a:xfrm>
          <a:off x="9520023" y="5421376"/>
          <a:ext cx="713960" cy="3559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602735</xdr:colOff>
      <xdr:row>21</xdr:row>
      <xdr:rowOff>82691</xdr:rowOff>
    </xdr:from>
    <xdr:to>
      <xdr:col>29</xdr:col>
      <xdr:colOff>30373</xdr:colOff>
      <xdr:row>24</xdr:row>
      <xdr:rowOff>91153</xdr:rowOff>
    </xdr:to>
    <xdr:pic>
      <xdr:nvPicPr>
        <xdr:cNvPr id="359" name="Picture 5" descr="VSM-Icons_Inventory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21317103" y="3872638"/>
          <a:ext cx="861402" cy="549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323850</xdr:colOff>
      <xdr:row>18</xdr:row>
      <xdr:rowOff>133350</xdr:rowOff>
    </xdr:from>
    <xdr:to>
      <xdr:col>24</xdr:col>
      <xdr:colOff>259699</xdr:colOff>
      <xdr:row>20</xdr:row>
      <xdr:rowOff>82547</xdr:rowOff>
    </xdr:to>
    <xdr:sp macro="" textlink="">
      <xdr:nvSpPr>
        <xdr:cNvPr id="360" name="TextBox 5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/>
      </xdr:nvSpPr>
      <xdr:spPr bwMode="auto">
        <a:xfrm>
          <a:off x="13706475" y="3390900"/>
          <a:ext cx="1155049" cy="311147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200" b="1"/>
        </a:p>
      </xdr:txBody>
    </xdr:sp>
    <xdr:clientData/>
  </xdr:twoCellAnchor>
  <xdr:twoCellAnchor>
    <xdr:from>
      <xdr:col>22</xdr:col>
      <xdr:colOff>778387</xdr:colOff>
      <xdr:row>34</xdr:row>
      <xdr:rowOff>16387</xdr:rowOff>
    </xdr:from>
    <xdr:to>
      <xdr:col>24</xdr:col>
      <xdr:colOff>210552</xdr:colOff>
      <xdr:row>34</xdr:row>
      <xdr:rowOff>20053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05B56ED-2F07-44D3-860C-C35643A5D4E3}"/>
            </a:ext>
          </a:extLst>
        </xdr:cNvPr>
        <xdr:cNvCxnSpPr/>
      </xdr:nvCxnSpPr>
      <xdr:spPr>
        <a:xfrm flipH="1" flipV="1">
          <a:off x="17151361" y="6182571"/>
          <a:ext cx="1307086" cy="3666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292417</xdr:colOff>
      <xdr:row>27</xdr:row>
      <xdr:rowOff>86264</xdr:rowOff>
    </xdr:from>
    <xdr:to>
      <xdr:col>21</xdr:col>
      <xdr:colOff>431380</xdr:colOff>
      <xdr:row>27</xdr:row>
      <xdr:rowOff>91784</xdr:rowOff>
    </xdr:to>
    <xdr:sp macro="" textlink="">
      <xdr:nvSpPr>
        <xdr:cNvPr id="126" name="Line 48">
          <a:extLst>
            <a:ext uri="{FF2B5EF4-FFF2-40B4-BE49-F238E27FC236}">
              <a16:creationId xmlns:a16="http://schemas.microsoft.com/office/drawing/2014/main" id="{D35719D8-FA54-4DDE-B040-A81E34F58037}"/>
            </a:ext>
          </a:extLst>
        </xdr:cNvPr>
        <xdr:cNvSpPr>
          <a:spLocks noChangeShapeType="1"/>
        </xdr:cNvSpPr>
      </xdr:nvSpPr>
      <xdr:spPr bwMode="auto">
        <a:xfrm flipV="1">
          <a:off x="15374266" y="5132717"/>
          <a:ext cx="742812" cy="5520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531113</xdr:colOff>
      <xdr:row>27</xdr:row>
      <xdr:rowOff>105241</xdr:rowOff>
    </xdr:from>
    <xdr:to>
      <xdr:col>25</xdr:col>
      <xdr:colOff>657192</xdr:colOff>
      <xdr:row>27</xdr:row>
      <xdr:rowOff>116284</xdr:rowOff>
    </xdr:to>
    <xdr:sp macro="" textlink="">
      <xdr:nvSpPr>
        <xdr:cNvPr id="127" name="Line 48">
          <a:extLst>
            <a:ext uri="{FF2B5EF4-FFF2-40B4-BE49-F238E27FC236}">
              <a16:creationId xmlns:a16="http://schemas.microsoft.com/office/drawing/2014/main" id="{B4073264-7673-4DF1-BD5F-2DF5888F7096}"/>
            </a:ext>
          </a:extLst>
        </xdr:cNvPr>
        <xdr:cNvSpPr>
          <a:spLocks noChangeShapeType="1"/>
        </xdr:cNvSpPr>
      </xdr:nvSpPr>
      <xdr:spPr bwMode="auto">
        <a:xfrm flipV="1">
          <a:off x="18689717" y="5151694"/>
          <a:ext cx="729928" cy="11043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250568</xdr:colOff>
      <xdr:row>27</xdr:row>
      <xdr:rowOff>78389</xdr:rowOff>
    </xdr:from>
    <xdr:to>
      <xdr:col>29</xdr:col>
      <xdr:colOff>307577</xdr:colOff>
      <xdr:row>27</xdr:row>
      <xdr:rowOff>89432</xdr:rowOff>
    </xdr:to>
    <xdr:sp macro="" textlink="">
      <xdr:nvSpPr>
        <xdr:cNvPr id="128" name="Line 48">
          <a:extLst>
            <a:ext uri="{FF2B5EF4-FFF2-40B4-BE49-F238E27FC236}">
              <a16:creationId xmlns:a16="http://schemas.microsoft.com/office/drawing/2014/main" id="{C205E1E3-79E6-4EF9-BD88-A0C6979E6650}"/>
            </a:ext>
          </a:extLst>
        </xdr:cNvPr>
        <xdr:cNvSpPr>
          <a:spLocks noChangeShapeType="1"/>
        </xdr:cNvSpPr>
      </xdr:nvSpPr>
      <xdr:spPr bwMode="auto">
        <a:xfrm flipV="1">
          <a:off x="21615323" y="5124842"/>
          <a:ext cx="747122" cy="11043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230605</xdr:colOff>
      <xdr:row>34</xdr:row>
      <xdr:rowOff>1</xdr:rowOff>
    </xdr:from>
    <xdr:to>
      <xdr:col>24</xdr:col>
      <xdr:colOff>230605</xdr:colOff>
      <xdr:row>35</xdr:row>
      <xdr:rowOff>76201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7676C6F-3727-41B5-84C5-7C06BF1B864E}"/>
            </a:ext>
          </a:extLst>
        </xdr:cNvPr>
        <xdr:cNvCxnSpPr/>
      </xdr:nvCxnSpPr>
      <xdr:spPr bwMode="auto">
        <a:xfrm rot="5400000">
          <a:off x="18340136" y="6304549"/>
          <a:ext cx="276727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104860</xdr:colOff>
      <xdr:row>33</xdr:row>
      <xdr:rowOff>178645</xdr:rowOff>
    </xdr:from>
    <xdr:to>
      <xdr:col>26</xdr:col>
      <xdr:colOff>104860</xdr:colOff>
      <xdr:row>35</xdr:row>
      <xdr:rowOff>74372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CAD1AE89-2890-4908-A558-90CB1D7ADF4A}"/>
            </a:ext>
          </a:extLst>
        </xdr:cNvPr>
        <xdr:cNvCxnSpPr/>
      </xdr:nvCxnSpPr>
      <xdr:spPr bwMode="auto">
        <a:xfrm rot="5400000">
          <a:off x="19758443" y="6302720"/>
          <a:ext cx="276727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230605</xdr:colOff>
      <xdr:row>35</xdr:row>
      <xdr:rowOff>-1</xdr:rowOff>
    </xdr:from>
    <xdr:to>
      <xdr:col>26</xdr:col>
      <xdr:colOff>110290</xdr:colOff>
      <xdr:row>35</xdr:row>
      <xdr:rowOff>70184</xdr:rowOff>
    </xdr:to>
    <xdr:grpSp>
      <xdr:nvGrpSpPr>
        <xdr:cNvPr id="132" name="Group 34">
          <a:extLst>
            <a:ext uri="{FF2B5EF4-FFF2-40B4-BE49-F238E27FC236}">
              <a16:creationId xmlns:a16="http://schemas.microsoft.com/office/drawing/2014/main" id="{FB633B40-16E5-4DC5-A415-1A028A3D2F0A}"/>
            </a:ext>
          </a:extLst>
        </xdr:cNvPr>
        <xdr:cNvGrpSpPr>
          <a:grpSpLocks/>
        </xdr:cNvGrpSpPr>
      </xdr:nvGrpSpPr>
      <xdr:grpSpPr bwMode="auto">
        <a:xfrm>
          <a:off x="18425299" y="6546979"/>
          <a:ext cx="1419236" cy="70185"/>
          <a:chOff x="5143500" y="4914900"/>
          <a:chExt cx="1295400" cy="228600"/>
        </a:xfrm>
      </xdr:grpSpPr>
      <xdr:cxnSp macro="">
        <xdr:nvCxnSpPr>
          <xdr:cNvPr id="133" name="Straight Connector 132">
            <a:extLst>
              <a:ext uri="{FF2B5EF4-FFF2-40B4-BE49-F238E27FC236}">
                <a16:creationId xmlns:a16="http://schemas.microsoft.com/office/drawing/2014/main" id="{181E7BF5-6719-5964-646D-8ADC092B4009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" name="Straight Connector 133">
            <a:extLst>
              <a:ext uri="{FF2B5EF4-FFF2-40B4-BE49-F238E27FC236}">
                <a16:creationId xmlns:a16="http://schemas.microsoft.com/office/drawing/2014/main" id="{81BBB574-C53F-A7C2-4CF1-F685CC827F2B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5" name="Straight Connector 134">
            <a:extLst>
              <a:ext uri="{FF2B5EF4-FFF2-40B4-BE49-F238E27FC236}">
                <a16:creationId xmlns:a16="http://schemas.microsoft.com/office/drawing/2014/main" id="{C781DA58-103E-6901-8D3E-389A43C8A7B3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467032</xdr:colOff>
      <xdr:row>33</xdr:row>
      <xdr:rowOff>163871</xdr:rowOff>
    </xdr:from>
    <xdr:to>
      <xdr:col>27</xdr:col>
      <xdr:colOff>467032</xdr:colOff>
      <xdr:row>35</xdr:row>
      <xdr:rowOff>59813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521D85A7-E332-4F35-999B-7BDC451918DF}"/>
            </a:ext>
          </a:extLst>
        </xdr:cNvPr>
        <xdr:cNvCxnSpPr/>
      </xdr:nvCxnSpPr>
      <xdr:spPr bwMode="auto">
        <a:xfrm rot="5400000">
          <a:off x="19741125" y="6281584"/>
          <a:ext cx="27284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151307</xdr:colOff>
      <xdr:row>34</xdr:row>
      <xdr:rowOff>24581</xdr:rowOff>
    </xdr:from>
    <xdr:to>
      <xdr:col>29</xdr:col>
      <xdr:colOff>151307</xdr:colOff>
      <xdr:row>35</xdr:row>
      <xdr:rowOff>100781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2C8D5CB5-C5D5-4505-A0A7-6CCC1CA37A74}"/>
            </a:ext>
          </a:extLst>
        </xdr:cNvPr>
        <xdr:cNvCxnSpPr/>
      </xdr:nvCxnSpPr>
      <xdr:spPr bwMode="auto">
        <a:xfrm rot="5400000">
          <a:off x="20719981" y="6322552"/>
          <a:ext cx="27284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458839</xdr:colOff>
      <xdr:row>35</xdr:row>
      <xdr:rowOff>24581</xdr:rowOff>
    </xdr:from>
    <xdr:to>
      <xdr:col>29</xdr:col>
      <xdr:colOff>122903</xdr:colOff>
      <xdr:row>35</xdr:row>
      <xdr:rowOff>70300</xdr:rowOff>
    </xdr:to>
    <xdr:grpSp>
      <xdr:nvGrpSpPr>
        <xdr:cNvPr id="138" name="Group 34">
          <a:extLst>
            <a:ext uri="{FF2B5EF4-FFF2-40B4-BE49-F238E27FC236}">
              <a16:creationId xmlns:a16="http://schemas.microsoft.com/office/drawing/2014/main" id="{60D3BC99-4DD5-431D-9F81-1A619CF10F2C}"/>
            </a:ext>
          </a:extLst>
        </xdr:cNvPr>
        <xdr:cNvGrpSpPr>
          <a:grpSpLocks/>
        </xdr:cNvGrpSpPr>
      </xdr:nvGrpSpPr>
      <xdr:grpSpPr bwMode="auto">
        <a:xfrm>
          <a:off x="21110594" y="6571561"/>
          <a:ext cx="1110309" cy="45719"/>
          <a:chOff x="5143500" y="4914900"/>
          <a:chExt cx="1295400" cy="228600"/>
        </a:xfrm>
      </xdr:grpSpPr>
      <xdr:cxnSp macro="">
        <xdr:nvCxnSpPr>
          <xdr:cNvPr id="141" name="Straight Connector 140">
            <a:extLst>
              <a:ext uri="{FF2B5EF4-FFF2-40B4-BE49-F238E27FC236}">
                <a16:creationId xmlns:a16="http://schemas.microsoft.com/office/drawing/2014/main" id="{FBC87EF6-97BA-2B4A-D18A-CBD8A0F66D1B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2" name="Straight Connector 141">
            <a:extLst>
              <a:ext uri="{FF2B5EF4-FFF2-40B4-BE49-F238E27FC236}">
                <a16:creationId xmlns:a16="http://schemas.microsoft.com/office/drawing/2014/main" id="{8963F976-6A16-6237-3083-4D242F06343D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3" name="Straight Connector 142">
            <a:extLst>
              <a:ext uri="{FF2B5EF4-FFF2-40B4-BE49-F238E27FC236}">
                <a16:creationId xmlns:a16="http://schemas.microsoft.com/office/drawing/2014/main" id="{344B72C0-42D5-54B3-33E2-6A2DB5D23B3B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70185</xdr:colOff>
      <xdr:row>33</xdr:row>
      <xdr:rowOff>174976</xdr:rowOff>
    </xdr:from>
    <xdr:to>
      <xdr:col>27</xdr:col>
      <xdr:colOff>458839</xdr:colOff>
      <xdr:row>34</xdr:row>
      <xdr:rowOff>20053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86BECF16-DAE2-454E-BD1A-061D9A0333D7}"/>
            </a:ext>
          </a:extLst>
        </xdr:cNvPr>
        <xdr:cNvCxnSpPr/>
      </xdr:nvCxnSpPr>
      <xdr:spPr>
        <a:xfrm flipH="1">
          <a:off x="19862132" y="6160687"/>
          <a:ext cx="1311075" cy="2555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122904</xdr:colOff>
      <xdr:row>34</xdr:row>
      <xdr:rowOff>8194</xdr:rowOff>
    </xdr:from>
    <xdr:to>
      <xdr:col>30</xdr:col>
      <xdr:colOff>254000</xdr:colOff>
      <xdr:row>34</xdr:row>
      <xdr:rowOff>16387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AFE465CC-CB01-4F6E-904E-56BC1EF6A92E}"/>
            </a:ext>
          </a:extLst>
        </xdr:cNvPr>
        <xdr:cNvCxnSpPr/>
      </xdr:nvCxnSpPr>
      <xdr:spPr>
        <a:xfrm flipH="1" flipV="1">
          <a:off x="20828001" y="6169742"/>
          <a:ext cx="737418" cy="8193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211023</xdr:colOff>
      <xdr:row>23</xdr:row>
      <xdr:rowOff>20877</xdr:rowOff>
    </xdr:from>
    <xdr:to>
      <xdr:col>34</xdr:col>
      <xdr:colOff>762001</xdr:colOff>
      <xdr:row>27</xdr:row>
      <xdr:rowOff>88957</xdr:rowOff>
    </xdr:to>
    <xdr:sp macro="" textlink="">
      <xdr:nvSpPr>
        <xdr:cNvPr id="217" name="Line 48">
          <a:extLst>
            <a:ext uri="{FF2B5EF4-FFF2-40B4-BE49-F238E27FC236}">
              <a16:creationId xmlns:a16="http://schemas.microsoft.com/office/drawing/2014/main" id="{27D1D2EA-7226-49B0-B90F-37F4C96C7F9D}"/>
            </a:ext>
          </a:extLst>
        </xdr:cNvPr>
        <xdr:cNvSpPr>
          <a:spLocks noChangeShapeType="1"/>
        </xdr:cNvSpPr>
      </xdr:nvSpPr>
      <xdr:spPr bwMode="auto">
        <a:xfrm flipV="1">
          <a:off x="24782913" y="4342356"/>
          <a:ext cx="1761828" cy="819642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262194</xdr:colOff>
      <xdr:row>34</xdr:row>
      <xdr:rowOff>1</xdr:rowOff>
    </xdr:from>
    <xdr:to>
      <xdr:col>30</xdr:col>
      <xdr:colOff>262194</xdr:colOff>
      <xdr:row>35</xdr:row>
      <xdr:rowOff>76200</xdr:rowOff>
    </xdr:to>
    <xdr:cxnSp macro="">
      <xdr:nvCxnSpPr>
        <xdr:cNvPr id="222" name="Straight Connector 221">
          <a:extLst>
            <a:ext uri="{FF2B5EF4-FFF2-40B4-BE49-F238E27FC236}">
              <a16:creationId xmlns:a16="http://schemas.microsoft.com/office/drawing/2014/main" id="{1CD9F108-6F96-48BE-AFBB-FC9DB6F77D7A}"/>
            </a:ext>
          </a:extLst>
        </xdr:cNvPr>
        <xdr:cNvCxnSpPr/>
      </xdr:nvCxnSpPr>
      <xdr:spPr bwMode="auto">
        <a:xfrm rot="5400000">
          <a:off x="21437190" y="6297972"/>
          <a:ext cx="272845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270386</xdr:colOff>
      <xdr:row>35</xdr:row>
      <xdr:rowOff>0</xdr:rowOff>
    </xdr:from>
    <xdr:to>
      <xdr:col>32</xdr:col>
      <xdr:colOff>8193</xdr:colOff>
      <xdr:row>35</xdr:row>
      <xdr:rowOff>45719</xdr:rowOff>
    </xdr:to>
    <xdr:grpSp>
      <xdr:nvGrpSpPr>
        <xdr:cNvPr id="223" name="Group 34">
          <a:extLst>
            <a:ext uri="{FF2B5EF4-FFF2-40B4-BE49-F238E27FC236}">
              <a16:creationId xmlns:a16="http://schemas.microsoft.com/office/drawing/2014/main" id="{D6D0C258-BDF5-4E4E-800A-1A5FBC232CCC}"/>
            </a:ext>
          </a:extLst>
        </xdr:cNvPr>
        <xdr:cNvGrpSpPr>
          <a:grpSpLocks/>
        </xdr:cNvGrpSpPr>
      </xdr:nvGrpSpPr>
      <xdr:grpSpPr bwMode="auto">
        <a:xfrm>
          <a:off x="22974876" y="6546980"/>
          <a:ext cx="1603929" cy="45719"/>
          <a:chOff x="5143500" y="4914900"/>
          <a:chExt cx="1295400" cy="228600"/>
        </a:xfrm>
      </xdr:grpSpPr>
      <xdr:cxnSp macro="">
        <xdr:nvCxnSpPr>
          <xdr:cNvPr id="224" name="Straight Connector 223">
            <a:extLst>
              <a:ext uri="{FF2B5EF4-FFF2-40B4-BE49-F238E27FC236}">
                <a16:creationId xmlns:a16="http://schemas.microsoft.com/office/drawing/2014/main" id="{CA84A1D6-2A7C-E2C5-4562-E8390A6682F7}"/>
              </a:ext>
            </a:extLst>
          </xdr:cNvPr>
          <xdr:cNvCxnSpPr/>
        </xdr:nvCxnSpPr>
        <xdr:spPr>
          <a:xfrm rot="5400000">
            <a:off x="50292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5" name="Straight Connector 224">
            <a:extLst>
              <a:ext uri="{FF2B5EF4-FFF2-40B4-BE49-F238E27FC236}">
                <a16:creationId xmlns:a16="http://schemas.microsoft.com/office/drawing/2014/main" id="{842DB773-4890-B035-3137-7B098DD55D40}"/>
              </a:ext>
            </a:extLst>
          </xdr:cNvPr>
          <xdr:cNvCxnSpPr/>
        </xdr:nvCxnSpPr>
        <xdr:spPr>
          <a:xfrm rot="5400000">
            <a:off x="6324600" y="5029200"/>
            <a:ext cx="2286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6" name="Straight Connector 225">
            <a:extLst>
              <a:ext uri="{FF2B5EF4-FFF2-40B4-BE49-F238E27FC236}">
                <a16:creationId xmlns:a16="http://schemas.microsoft.com/office/drawing/2014/main" id="{9A2C824C-AFC4-C165-6B84-1C0954140A12}"/>
              </a:ext>
            </a:extLst>
          </xdr:cNvPr>
          <xdr:cNvCxnSpPr/>
        </xdr:nvCxnSpPr>
        <xdr:spPr>
          <a:xfrm flipV="1">
            <a:off x="5143500" y="5124965"/>
            <a:ext cx="1295400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436205</xdr:colOff>
      <xdr:row>3</xdr:row>
      <xdr:rowOff>91467</xdr:rowOff>
    </xdr:from>
    <xdr:to>
      <xdr:col>36</xdr:col>
      <xdr:colOff>32882</xdr:colOff>
      <xdr:row>8</xdr:row>
      <xdr:rowOff>30521</xdr:rowOff>
    </xdr:to>
    <xdr:sp macro="" textlink="">
      <xdr:nvSpPr>
        <xdr:cNvPr id="234" name="Freeform 31">
          <a:extLst>
            <a:ext uri="{FF2B5EF4-FFF2-40B4-BE49-F238E27FC236}">
              <a16:creationId xmlns:a16="http://schemas.microsoft.com/office/drawing/2014/main" id="{5CFCD11D-CE0E-427A-9170-750BD51467CB}"/>
            </a:ext>
          </a:extLst>
        </xdr:cNvPr>
        <xdr:cNvSpPr>
          <a:spLocks/>
        </xdr:cNvSpPr>
      </xdr:nvSpPr>
      <xdr:spPr bwMode="auto">
        <a:xfrm rot="16472251" flipH="1" flipV="1">
          <a:off x="19475438" y="-6434924"/>
          <a:ext cx="841422" cy="14977045"/>
        </a:xfrm>
        <a:custGeom>
          <a:avLst/>
          <a:gdLst>
            <a:gd name="T0" fmla="*/ 2147483646 w 21"/>
            <a:gd name="T1" fmla="*/ 0 h 347"/>
            <a:gd name="T2" fmla="*/ 0 w 21"/>
            <a:gd name="T3" fmla="*/ 2147483646 h 347"/>
            <a:gd name="T4" fmla="*/ 2147483646 w 21"/>
            <a:gd name="T5" fmla="*/ 2147483646 h 347"/>
            <a:gd name="T6" fmla="*/ 2147483646 w 21"/>
            <a:gd name="T7" fmla="*/ 2147483646 h 347"/>
            <a:gd name="T8" fmla="*/ 0 60000 65536"/>
            <a:gd name="T9" fmla="*/ 0 60000 65536"/>
            <a:gd name="T10" fmla="*/ 0 60000 65536"/>
            <a:gd name="T11" fmla="*/ 0 60000 65536"/>
            <a:gd name="T12" fmla="*/ 0 w 21"/>
            <a:gd name="T13" fmla="*/ 0 h 347"/>
            <a:gd name="T14" fmla="*/ 21 w 21"/>
            <a:gd name="T15" fmla="*/ 347 h 347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" h="347">
              <a:moveTo>
                <a:pt x="18" y="0"/>
              </a:moveTo>
              <a:cubicBezTo>
                <a:pt x="9" y="66"/>
                <a:pt x="0" y="132"/>
                <a:pt x="0" y="162"/>
              </a:cubicBezTo>
              <a:cubicBezTo>
                <a:pt x="0" y="192"/>
                <a:pt x="15" y="148"/>
                <a:pt x="18" y="179"/>
              </a:cubicBezTo>
              <a:cubicBezTo>
                <a:pt x="21" y="210"/>
                <a:pt x="19" y="278"/>
                <a:pt x="17" y="347"/>
              </a:cubicBezTo>
            </a:path>
          </a:pathLst>
        </a:custGeom>
        <a:noFill/>
        <a:ln w="38100" cap="flat" cmpd="sng">
          <a:solidFill>
            <a:srgbClr val="000000"/>
          </a:solidFill>
          <a:prstDash val="solid"/>
          <a:round/>
          <a:headEnd type="none" w="med" len="med"/>
          <a:tailEnd type="triangle" w="lg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478121</xdr:colOff>
      <xdr:row>5</xdr:row>
      <xdr:rowOff>119531</xdr:rowOff>
    </xdr:from>
    <xdr:to>
      <xdr:col>29</xdr:col>
      <xdr:colOff>186910</xdr:colOff>
      <xdr:row>19</xdr:row>
      <xdr:rowOff>86265</xdr:rowOff>
    </xdr:to>
    <xdr:sp macro="" textlink="">
      <xdr:nvSpPr>
        <xdr:cNvPr id="236" name="Line 30">
          <a:extLst>
            <a:ext uri="{FF2B5EF4-FFF2-40B4-BE49-F238E27FC236}">
              <a16:creationId xmlns:a16="http://schemas.microsoft.com/office/drawing/2014/main" id="{400047FD-2020-4C12-B361-A3BD55A452CB}"/>
            </a:ext>
          </a:extLst>
        </xdr:cNvPr>
        <xdr:cNvSpPr>
          <a:spLocks noChangeShapeType="1"/>
        </xdr:cNvSpPr>
      </xdr:nvSpPr>
      <xdr:spPr bwMode="auto">
        <a:xfrm rot="16200000" flipH="1">
          <a:off x="15028431" y="-2152515"/>
          <a:ext cx="2583414" cy="8996562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394109</xdr:colOff>
      <xdr:row>5</xdr:row>
      <xdr:rowOff>105154</xdr:rowOff>
    </xdr:from>
    <xdr:to>
      <xdr:col>25</xdr:col>
      <xdr:colOff>862641</xdr:colOff>
      <xdr:row>19</xdr:row>
      <xdr:rowOff>129396</xdr:rowOff>
    </xdr:to>
    <xdr:sp macro="" textlink="">
      <xdr:nvSpPr>
        <xdr:cNvPr id="237" name="Line 30">
          <a:extLst>
            <a:ext uri="{FF2B5EF4-FFF2-40B4-BE49-F238E27FC236}">
              <a16:creationId xmlns:a16="http://schemas.microsoft.com/office/drawing/2014/main" id="{E3D5E2F4-F061-4493-AD9D-0497D9411F6F}"/>
            </a:ext>
          </a:extLst>
        </xdr:cNvPr>
        <xdr:cNvSpPr>
          <a:spLocks noChangeShapeType="1"/>
        </xdr:cNvSpPr>
      </xdr:nvSpPr>
      <xdr:spPr bwMode="auto">
        <a:xfrm rot="16200000" flipH="1">
          <a:off x="13721216" y="-943689"/>
          <a:ext cx="2640922" cy="660766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433295</xdr:colOff>
      <xdr:row>5</xdr:row>
      <xdr:rowOff>89650</xdr:rowOff>
    </xdr:from>
    <xdr:to>
      <xdr:col>22</xdr:col>
      <xdr:colOff>57510</xdr:colOff>
      <xdr:row>20</xdr:row>
      <xdr:rowOff>14378</xdr:rowOff>
    </xdr:to>
    <xdr:sp macro="" textlink="">
      <xdr:nvSpPr>
        <xdr:cNvPr id="238" name="Line 30">
          <a:extLst>
            <a:ext uri="{FF2B5EF4-FFF2-40B4-BE49-F238E27FC236}">
              <a16:creationId xmlns:a16="http://schemas.microsoft.com/office/drawing/2014/main" id="{BD2F4C30-1228-4D2D-A1F6-8909D4FCAF77}"/>
            </a:ext>
          </a:extLst>
        </xdr:cNvPr>
        <xdr:cNvSpPr>
          <a:spLocks noChangeShapeType="1"/>
        </xdr:cNvSpPr>
      </xdr:nvSpPr>
      <xdr:spPr bwMode="auto">
        <a:xfrm rot="16200000" flipH="1">
          <a:off x="12158736" y="642473"/>
          <a:ext cx="2728313" cy="349172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448239</xdr:colOff>
      <xdr:row>5</xdr:row>
      <xdr:rowOff>134470</xdr:rowOff>
    </xdr:from>
    <xdr:to>
      <xdr:col>18</xdr:col>
      <xdr:colOff>86265</xdr:colOff>
      <xdr:row>20</xdr:row>
      <xdr:rowOff>57510</xdr:rowOff>
    </xdr:to>
    <xdr:sp macro="" textlink="">
      <xdr:nvSpPr>
        <xdr:cNvPr id="239" name="Line 30">
          <a:extLst>
            <a:ext uri="{FF2B5EF4-FFF2-40B4-BE49-F238E27FC236}">
              <a16:creationId xmlns:a16="http://schemas.microsoft.com/office/drawing/2014/main" id="{C4C165A6-45E7-4111-A3EA-DE5CAE5D64B6}"/>
            </a:ext>
          </a:extLst>
        </xdr:cNvPr>
        <xdr:cNvSpPr>
          <a:spLocks noChangeShapeType="1"/>
        </xdr:cNvSpPr>
      </xdr:nvSpPr>
      <xdr:spPr bwMode="auto">
        <a:xfrm rot="16200000" flipH="1">
          <a:off x="10851524" y="2009449"/>
          <a:ext cx="2726625" cy="84572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lg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120317</xdr:colOff>
      <xdr:row>27</xdr:row>
      <xdr:rowOff>108857</xdr:rowOff>
    </xdr:from>
    <xdr:to>
      <xdr:col>5</xdr:col>
      <xdr:colOff>616858</xdr:colOff>
      <xdr:row>27</xdr:row>
      <xdr:rowOff>149449</xdr:rowOff>
    </xdr:to>
    <xdr:sp macro="" textlink="">
      <xdr:nvSpPr>
        <xdr:cNvPr id="240" name="Line 48">
          <a:extLst>
            <a:ext uri="{FF2B5EF4-FFF2-40B4-BE49-F238E27FC236}">
              <a16:creationId xmlns:a16="http://schemas.microsoft.com/office/drawing/2014/main" id="{445BD1D8-6BCB-4F53-A02B-44E9F9112F8A}"/>
            </a:ext>
          </a:extLst>
        </xdr:cNvPr>
        <xdr:cNvSpPr>
          <a:spLocks noChangeShapeType="1"/>
        </xdr:cNvSpPr>
      </xdr:nvSpPr>
      <xdr:spPr bwMode="auto">
        <a:xfrm flipV="1">
          <a:off x="3313460" y="5025571"/>
          <a:ext cx="1113398" cy="40592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305460</xdr:colOff>
      <xdr:row>28</xdr:row>
      <xdr:rowOff>13672</xdr:rowOff>
    </xdr:from>
    <xdr:to>
      <xdr:col>9</xdr:col>
      <xdr:colOff>415571</xdr:colOff>
      <xdr:row>28</xdr:row>
      <xdr:rowOff>17231</xdr:rowOff>
    </xdr:to>
    <xdr:sp macro="" textlink="">
      <xdr:nvSpPr>
        <xdr:cNvPr id="13" name="Line 48">
          <a:extLst>
            <a:ext uri="{FF2B5EF4-FFF2-40B4-BE49-F238E27FC236}">
              <a16:creationId xmlns:a16="http://schemas.microsoft.com/office/drawing/2014/main" id="{26EB62F7-D8F0-47FA-A22F-BA9CBB9F9DC5}"/>
            </a:ext>
          </a:extLst>
        </xdr:cNvPr>
        <xdr:cNvSpPr>
          <a:spLocks noChangeShapeType="1"/>
        </xdr:cNvSpPr>
      </xdr:nvSpPr>
      <xdr:spPr bwMode="auto">
        <a:xfrm>
          <a:off x="6559611" y="5247030"/>
          <a:ext cx="713960" cy="3559"/>
        </a:xfrm>
        <a:prstGeom prst="line">
          <a:avLst/>
        </a:prstGeom>
        <a:noFill/>
        <a:ln w="152400">
          <a:solidFill>
            <a:srgbClr val="000000"/>
          </a:solidFill>
          <a:prstDash val="sysDot"/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96479</xdr:colOff>
      <xdr:row>21</xdr:row>
      <xdr:rowOff>83616</xdr:rowOff>
    </xdr:from>
    <xdr:to>
      <xdr:col>3</xdr:col>
      <xdr:colOff>682848</xdr:colOff>
      <xdr:row>25</xdr:row>
      <xdr:rowOff>61237</xdr:rowOff>
    </xdr:to>
    <xdr:grpSp>
      <xdr:nvGrpSpPr>
        <xdr:cNvPr id="15" name="Group 82">
          <a:extLst>
            <a:ext uri="{FF2B5EF4-FFF2-40B4-BE49-F238E27FC236}">
              <a16:creationId xmlns:a16="http://schemas.microsoft.com/office/drawing/2014/main" id="{CFAFF65A-1E72-47C4-AFC2-DD69D7200E08}"/>
            </a:ext>
          </a:extLst>
        </xdr:cNvPr>
        <xdr:cNvGrpSpPr>
          <a:grpSpLocks/>
        </xdr:cNvGrpSpPr>
      </xdr:nvGrpSpPr>
      <xdr:grpSpPr bwMode="auto">
        <a:xfrm>
          <a:off x="1542724" y="4002473"/>
          <a:ext cx="1581634" cy="724070"/>
          <a:chOff x="1828800" y="2463436"/>
          <a:chExt cx="1676400" cy="965565"/>
        </a:xfrm>
      </xdr:grpSpPr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994DD284-4437-0155-636A-14B0192C626B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17" name="TextBox 5">
            <a:extLst>
              <a:ext uri="{FF2B5EF4-FFF2-40B4-BE49-F238E27FC236}">
                <a16:creationId xmlns:a16="http://schemas.microsoft.com/office/drawing/2014/main" id="{7AB68560-AD27-36E3-E162-9DD8D6D35BE0}"/>
              </a:ext>
            </a:extLst>
          </xdr:cNvPr>
          <xdr:cNvSpPr txBox="1"/>
        </xdr:nvSpPr>
        <xdr:spPr>
          <a:xfrm>
            <a:off x="1853333" y="2533115"/>
            <a:ext cx="1613668" cy="38602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0" lang="en-US" sz="1200" b="1" i="0" u="none" strike="noStrike" kern="0" cap="none" spc="0" normalizeH="0" baseline="0" noProof="0">
                <a:ln>
                  <a:noFill/>
                </a:ln>
                <a:solidFill>
                  <a:srgbClr val="5B9BD5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Laser</a:t>
            </a:r>
            <a:r>
              <a:rPr lang="en-US" sz="1200" b="1">
                <a:solidFill>
                  <a:schemeClr val="accent1"/>
                </a:solidFill>
              </a:rPr>
              <a:t> 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B7218BC4-C02F-9BC5-4292-087DBFB71F61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14377</xdr:colOff>
      <xdr:row>21</xdr:row>
      <xdr:rowOff>71887</xdr:rowOff>
    </xdr:from>
    <xdr:to>
      <xdr:col>8</xdr:col>
      <xdr:colOff>0</xdr:colOff>
      <xdr:row>25</xdr:row>
      <xdr:rowOff>121394</xdr:rowOff>
    </xdr:to>
    <xdr:grpSp>
      <xdr:nvGrpSpPr>
        <xdr:cNvPr id="19" name="Group 82">
          <a:extLst>
            <a:ext uri="{FF2B5EF4-FFF2-40B4-BE49-F238E27FC236}">
              <a16:creationId xmlns:a16="http://schemas.microsoft.com/office/drawing/2014/main" id="{47FD234D-D430-48C5-B3F0-FD236131531E}"/>
            </a:ext>
          </a:extLst>
        </xdr:cNvPr>
        <xdr:cNvGrpSpPr>
          <a:grpSpLocks/>
        </xdr:cNvGrpSpPr>
      </xdr:nvGrpSpPr>
      <xdr:grpSpPr bwMode="auto">
        <a:xfrm>
          <a:off x="4539724" y="3990744"/>
          <a:ext cx="1727337" cy="795956"/>
          <a:chOff x="1828800" y="2418265"/>
          <a:chExt cx="1676400" cy="1010736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31DBBA71-2354-8787-7FDE-52A8324BC439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21" name="TextBox 5">
            <a:extLst>
              <a:ext uri="{FF2B5EF4-FFF2-40B4-BE49-F238E27FC236}">
                <a16:creationId xmlns:a16="http://schemas.microsoft.com/office/drawing/2014/main" id="{EAA55A2C-F93B-C5E1-D9B4-BA208D88577B}"/>
              </a:ext>
            </a:extLst>
          </xdr:cNvPr>
          <xdr:cNvSpPr txBox="1"/>
        </xdr:nvSpPr>
        <xdr:spPr>
          <a:xfrm>
            <a:off x="1837110" y="2418265"/>
            <a:ext cx="1613668" cy="36649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0" lang="en-US" sz="1200" b="1" i="0" u="none" strike="noStrike" kern="1200" cap="none" spc="0" normalizeH="0" baseline="0" noProof="0">
                <a:ln>
                  <a:noFill/>
                </a:ln>
                <a:solidFill>
                  <a:srgbClr val="5B9BD5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Bending</a:t>
            </a:r>
            <a:endParaRPr lang="en-US" sz="1200" b="1">
              <a:solidFill>
                <a:schemeClr val="accent1"/>
              </a:solidFill>
            </a:endParaRP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BE36ECC2-58AE-387E-F19C-2A3E164A39D8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9</xdr:col>
      <xdr:colOff>591554</xdr:colOff>
      <xdr:row>21</xdr:row>
      <xdr:rowOff>129396</xdr:rowOff>
    </xdr:from>
    <xdr:to>
      <xdr:col>12</xdr:col>
      <xdr:colOff>20052</xdr:colOff>
      <xdr:row>25</xdr:row>
      <xdr:rowOff>107017</xdr:rowOff>
    </xdr:to>
    <xdr:grpSp>
      <xdr:nvGrpSpPr>
        <xdr:cNvPr id="23" name="Group 82">
          <a:extLst>
            <a:ext uri="{FF2B5EF4-FFF2-40B4-BE49-F238E27FC236}">
              <a16:creationId xmlns:a16="http://schemas.microsoft.com/office/drawing/2014/main" id="{9286C334-498A-440B-8DB5-C3043ACE4DFA}"/>
            </a:ext>
          </a:extLst>
        </xdr:cNvPr>
        <xdr:cNvGrpSpPr>
          <a:grpSpLocks/>
        </xdr:cNvGrpSpPr>
      </xdr:nvGrpSpPr>
      <xdr:grpSpPr bwMode="auto">
        <a:xfrm>
          <a:off x="7465105" y="4048253"/>
          <a:ext cx="1823355" cy="724070"/>
          <a:chOff x="1828800" y="2463436"/>
          <a:chExt cx="1703091" cy="965565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BD4EB861-1971-FBFC-A6E2-AAEBAB178ED7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25" name="TextBox 5">
            <a:extLst>
              <a:ext uri="{FF2B5EF4-FFF2-40B4-BE49-F238E27FC236}">
                <a16:creationId xmlns:a16="http://schemas.microsoft.com/office/drawing/2014/main" id="{35D590A8-D0A3-3788-E7BB-F741F008EECB}"/>
              </a:ext>
            </a:extLst>
          </xdr:cNvPr>
          <xdr:cNvSpPr txBox="1"/>
        </xdr:nvSpPr>
        <xdr:spPr>
          <a:xfrm>
            <a:off x="1918223" y="2571397"/>
            <a:ext cx="1613668" cy="38677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Assmbly</a:t>
            </a:r>
            <a:r>
              <a:rPr lang="en-US" sz="1200" b="1" baseline="0">
                <a:solidFill>
                  <a:schemeClr val="accent1"/>
                </a:solidFill>
              </a:rPr>
              <a:t> </a:t>
            </a:r>
            <a:r>
              <a:rPr lang="en-US" sz="1200" b="1">
                <a:solidFill>
                  <a:schemeClr val="accent1"/>
                </a:solidFill>
              </a:rPr>
              <a:t>  </a:t>
            </a:r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0767C43D-63C9-502F-BF52-444581F9CA47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13</xdr:col>
      <xdr:colOff>496195</xdr:colOff>
      <xdr:row>21</xdr:row>
      <xdr:rowOff>57509</xdr:rowOff>
    </xdr:from>
    <xdr:to>
      <xdr:col>15</xdr:col>
      <xdr:colOff>551182</xdr:colOff>
      <xdr:row>25</xdr:row>
      <xdr:rowOff>35130</xdr:rowOff>
    </xdr:to>
    <xdr:grpSp>
      <xdr:nvGrpSpPr>
        <xdr:cNvPr id="27" name="Group 82">
          <a:extLst>
            <a:ext uri="{FF2B5EF4-FFF2-40B4-BE49-F238E27FC236}">
              <a16:creationId xmlns:a16="http://schemas.microsoft.com/office/drawing/2014/main" id="{D1E82819-9089-4D7E-9836-0DF685503325}"/>
            </a:ext>
          </a:extLst>
        </xdr:cNvPr>
        <xdr:cNvGrpSpPr>
          <a:grpSpLocks/>
        </xdr:cNvGrpSpPr>
      </xdr:nvGrpSpPr>
      <xdr:grpSpPr bwMode="auto">
        <a:xfrm>
          <a:off x="10371093" y="3976366"/>
          <a:ext cx="1532334" cy="724070"/>
          <a:chOff x="1772219" y="2463436"/>
          <a:chExt cx="1732981" cy="965565"/>
        </a:xfrm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2BE22B05-8889-1BBC-FA09-FB27857BF548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30" name="TextBox 5">
            <a:extLst>
              <a:ext uri="{FF2B5EF4-FFF2-40B4-BE49-F238E27FC236}">
                <a16:creationId xmlns:a16="http://schemas.microsoft.com/office/drawing/2014/main" id="{E1C44C9B-3AF7-CFA0-EB6D-E4BAB7D6FE61}"/>
              </a:ext>
            </a:extLst>
          </xdr:cNvPr>
          <xdr:cNvSpPr txBox="1"/>
        </xdr:nvSpPr>
        <xdr:spPr>
          <a:xfrm>
            <a:off x="1772219" y="2533114"/>
            <a:ext cx="1613668" cy="38677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Compressing</a:t>
            </a:r>
            <a:r>
              <a:rPr lang="en-US" sz="1200" b="1" baseline="0">
                <a:solidFill>
                  <a:schemeClr val="accent1"/>
                </a:solidFill>
              </a:rPr>
              <a:t> </a:t>
            </a:r>
            <a:endParaRPr lang="en-US" sz="1200" b="1">
              <a:solidFill>
                <a:schemeClr val="accent1"/>
              </a:solidFill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1326DEE8-6679-119F-AD76-D9EED93E358D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21</xdr:col>
      <xdr:colOff>531962</xdr:colOff>
      <xdr:row>20</xdr:row>
      <xdr:rowOff>143775</xdr:rowOff>
    </xdr:from>
    <xdr:to>
      <xdr:col>23</xdr:col>
      <xdr:colOff>349898</xdr:colOff>
      <xdr:row>24</xdr:row>
      <xdr:rowOff>121396</xdr:rowOff>
    </xdr:to>
    <xdr:grpSp>
      <xdr:nvGrpSpPr>
        <xdr:cNvPr id="33" name="Group 82">
          <a:extLst>
            <a:ext uri="{FF2B5EF4-FFF2-40B4-BE49-F238E27FC236}">
              <a16:creationId xmlns:a16="http://schemas.microsoft.com/office/drawing/2014/main" id="{D8D480BD-0551-4BD8-AB9A-4D2FE40077CD}"/>
            </a:ext>
          </a:extLst>
        </xdr:cNvPr>
        <xdr:cNvGrpSpPr>
          <a:grpSpLocks/>
        </xdr:cNvGrpSpPr>
      </xdr:nvGrpSpPr>
      <xdr:grpSpPr bwMode="auto">
        <a:xfrm>
          <a:off x="16238493" y="3876020"/>
          <a:ext cx="1497446" cy="724070"/>
          <a:chOff x="1828800" y="2463436"/>
          <a:chExt cx="1676400" cy="965565"/>
        </a:xfrm>
      </xdr:grpSpPr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B290D27E-E529-2F60-CE23-BA467285F2C6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37" name="TextBox 5">
            <a:extLst>
              <a:ext uri="{FF2B5EF4-FFF2-40B4-BE49-F238E27FC236}">
                <a16:creationId xmlns:a16="http://schemas.microsoft.com/office/drawing/2014/main" id="{7D686C43-808A-9976-ABD9-AFD8AC7969BE}"/>
              </a:ext>
            </a:extLst>
          </xdr:cNvPr>
          <xdr:cNvSpPr txBox="1"/>
        </xdr:nvSpPr>
        <xdr:spPr>
          <a:xfrm>
            <a:off x="1853333" y="2533115"/>
            <a:ext cx="1613668" cy="386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Paint  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057D17A4-EDC6-D31C-1E75-C675A598C701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25</xdr:col>
      <xdr:colOff>848264</xdr:colOff>
      <xdr:row>20</xdr:row>
      <xdr:rowOff>143774</xdr:rowOff>
    </xdr:from>
    <xdr:to>
      <xdr:col>27</xdr:col>
      <xdr:colOff>479295</xdr:colOff>
      <xdr:row>24</xdr:row>
      <xdr:rowOff>121395</xdr:rowOff>
    </xdr:to>
    <xdr:grpSp>
      <xdr:nvGrpSpPr>
        <xdr:cNvPr id="39" name="Group 82">
          <a:extLst>
            <a:ext uri="{FF2B5EF4-FFF2-40B4-BE49-F238E27FC236}">
              <a16:creationId xmlns:a16="http://schemas.microsoft.com/office/drawing/2014/main" id="{030B598A-5AAE-4DF3-96B2-00D23D9A16FF}"/>
            </a:ext>
          </a:extLst>
        </xdr:cNvPr>
        <xdr:cNvGrpSpPr>
          <a:grpSpLocks/>
        </xdr:cNvGrpSpPr>
      </xdr:nvGrpSpPr>
      <xdr:grpSpPr bwMode="auto">
        <a:xfrm>
          <a:off x="19649448" y="3876019"/>
          <a:ext cx="1481602" cy="724070"/>
          <a:chOff x="1828800" y="2463436"/>
          <a:chExt cx="1676400" cy="965565"/>
        </a:xfrm>
      </xdr:grpSpPr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92C06A61-060D-A2F5-0A92-37456CF5C2AC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41" name="TextBox 5">
            <a:extLst>
              <a:ext uri="{FF2B5EF4-FFF2-40B4-BE49-F238E27FC236}">
                <a16:creationId xmlns:a16="http://schemas.microsoft.com/office/drawing/2014/main" id="{528DB75F-E14A-A234-D23B-2F289477A18D}"/>
              </a:ext>
            </a:extLst>
          </xdr:cNvPr>
          <xdr:cNvSpPr txBox="1"/>
        </xdr:nvSpPr>
        <xdr:spPr>
          <a:xfrm>
            <a:off x="1853333" y="2533115"/>
            <a:ext cx="1613668" cy="386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Oven</a:t>
            </a: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7F485A8B-8A49-B95C-DD87-B52411E710E1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17</xdr:col>
      <xdr:colOff>445698</xdr:colOff>
      <xdr:row>20</xdr:row>
      <xdr:rowOff>143774</xdr:rowOff>
    </xdr:from>
    <xdr:to>
      <xdr:col>19</xdr:col>
      <xdr:colOff>479295</xdr:colOff>
      <xdr:row>24</xdr:row>
      <xdr:rowOff>121395</xdr:rowOff>
    </xdr:to>
    <xdr:grpSp>
      <xdr:nvGrpSpPr>
        <xdr:cNvPr id="43" name="Group 82">
          <a:extLst>
            <a:ext uri="{FF2B5EF4-FFF2-40B4-BE49-F238E27FC236}">
              <a16:creationId xmlns:a16="http://schemas.microsoft.com/office/drawing/2014/main" id="{23CBFAB7-09EB-F1F1-F0C1-6EDD4A0E9485}"/>
            </a:ext>
          </a:extLst>
        </xdr:cNvPr>
        <xdr:cNvGrpSpPr>
          <a:grpSpLocks/>
        </xdr:cNvGrpSpPr>
      </xdr:nvGrpSpPr>
      <xdr:grpSpPr bwMode="auto">
        <a:xfrm>
          <a:off x="13197535" y="3876019"/>
          <a:ext cx="1495393" cy="724070"/>
          <a:chOff x="1828800" y="2463436"/>
          <a:chExt cx="1676400" cy="965565"/>
        </a:xfrm>
      </xdr:grpSpPr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E4A2C151-957B-AD40-0F02-E4AD8A649CC3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45" name="TextBox 5">
            <a:extLst>
              <a:ext uri="{FF2B5EF4-FFF2-40B4-BE49-F238E27FC236}">
                <a16:creationId xmlns:a16="http://schemas.microsoft.com/office/drawing/2014/main" id="{B3A5642D-A081-7E86-858F-A8DD71F1CBC5}"/>
              </a:ext>
            </a:extLst>
          </xdr:cNvPr>
          <xdr:cNvSpPr txBox="1"/>
        </xdr:nvSpPr>
        <xdr:spPr>
          <a:xfrm>
            <a:off x="1853333" y="2533115"/>
            <a:ext cx="1613668" cy="386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Finishing </a:t>
            </a:r>
          </a:p>
        </xdr:txBody>
      </xdr:sp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93D39D88-64E0-349E-C1B4-76CBEFAAE5C4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29</xdr:col>
      <xdr:colOff>143773</xdr:colOff>
      <xdr:row>21</xdr:row>
      <xdr:rowOff>28754</xdr:rowOff>
    </xdr:from>
    <xdr:to>
      <xdr:col>30</xdr:col>
      <xdr:colOff>1025634</xdr:colOff>
      <xdr:row>25</xdr:row>
      <xdr:rowOff>6375</xdr:rowOff>
    </xdr:to>
    <xdr:grpSp>
      <xdr:nvGrpSpPr>
        <xdr:cNvPr id="51" name="Group 82">
          <a:extLst>
            <a:ext uri="{FF2B5EF4-FFF2-40B4-BE49-F238E27FC236}">
              <a16:creationId xmlns:a16="http://schemas.microsoft.com/office/drawing/2014/main" id="{01BA0F0E-D1FB-496B-B297-99737D4F5FE5}"/>
            </a:ext>
          </a:extLst>
        </xdr:cNvPr>
        <xdr:cNvGrpSpPr>
          <a:grpSpLocks/>
        </xdr:cNvGrpSpPr>
      </xdr:nvGrpSpPr>
      <xdr:grpSpPr bwMode="auto">
        <a:xfrm>
          <a:off x="22241773" y="3947611"/>
          <a:ext cx="1488351" cy="724070"/>
          <a:chOff x="1828800" y="2463436"/>
          <a:chExt cx="1676400" cy="965565"/>
        </a:xfrm>
      </xdr:grpSpPr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60E04389-4C1E-C7A7-3CFB-7725A32DDF82}"/>
              </a:ext>
            </a:extLst>
          </xdr:cNvPr>
          <xdr:cNvSpPr/>
        </xdr:nvSpPr>
        <xdr:spPr>
          <a:xfrm>
            <a:off x="1828800" y="2463436"/>
            <a:ext cx="1676400" cy="437988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  <xdr:sp macro="" textlink="">
        <xdr:nvSpPr>
          <xdr:cNvPr id="53" name="TextBox 5">
            <a:extLst>
              <a:ext uri="{FF2B5EF4-FFF2-40B4-BE49-F238E27FC236}">
                <a16:creationId xmlns:a16="http://schemas.microsoft.com/office/drawing/2014/main" id="{47F1823E-3F10-7947-6D23-28422531A2CC}"/>
              </a:ext>
            </a:extLst>
          </xdr:cNvPr>
          <xdr:cNvSpPr txBox="1"/>
        </xdr:nvSpPr>
        <xdr:spPr>
          <a:xfrm>
            <a:off x="1853333" y="2533115"/>
            <a:ext cx="1613669" cy="38677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>
                <a:solidFill>
                  <a:schemeClr val="accent1"/>
                </a:solidFill>
              </a:rPr>
              <a:t>Accessory</a:t>
            </a:r>
            <a:r>
              <a:rPr lang="en-US" sz="1200" b="1" baseline="0">
                <a:solidFill>
                  <a:schemeClr val="accent1"/>
                </a:solidFill>
              </a:rPr>
              <a:t> Assmbly </a:t>
            </a:r>
            <a:r>
              <a:rPr lang="en-US" sz="1200" b="1">
                <a:solidFill>
                  <a:schemeClr val="accent1"/>
                </a:solidFill>
              </a:rPr>
              <a:t> </a:t>
            </a:r>
          </a:p>
        </xdr:txBody>
      </xdr: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8149AA32-B457-1D1B-6169-A37A77D75CD4}"/>
              </a:ext>
            </a:extLst>
          </xdr:cNvPr>
          <xdr:cNvSpPr/>
        </xdr:nvSpPr>
        <xdr:spPr>
          <a:xfrm>
            <a:off x="1828800" y="2901424"/>
            <a:ext cx="1676400" cy="52757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/>
          <a:p>
            <a:endParaRPr lang="en-US"/>
          </a:p>
        </xdr:txBody>
      </xdr:sp>
    </xdr:grpSp>
    <xdr:clientData/>
  </xdr:twoCellAnchor>
  <xdr:twoCellAnchor>
    <xdr:from>
      <xdr:col>4</xdr:col>
      <xdr:colOff>256918</xdr:colOff>
      <xdr:row>21</xdr:row>
      <xdr:rowOff>163096</xdr:rowOff>
    </xdr:from>
    <xdr:to>
      <xdr:col>5</xdr:col>
      <xdr:colOff>533147</xdr:colOff>
      <xdr:row>24</xdr:row>
      <xdr:rowOff>171558</xdr:rowOff>
    </xdr:to>
    <xdr:pic>
      <xdr:nvPicPr>
        <xdr:cNvPr id="14" name="Picture 5" descr="VSM-Icons_Inventory">
          <a:extLst>
            <a:ext uri="{FF2B5EF4-FFF2-40B4-BE49-F238E27FC236}">
              <a16:creationId xmlns:a16="http://schemas.microsoft.com/office/drawing/2014/main" id="{120C320D-C13E-4C86-833D-014377C49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3438896" y="4031711"/>
          <a:ext cx="887504" cy="561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101600</xdr:colOff>
      <xdr:row>22</xdr:row>
      <xdr:rowOff>66040</xdr:rowOff>
    </xdr:from>
    <xdr:to>
      <xdr:col>9</xdr:col>
      <xdr:colOff>377829</xdr:colOff>
      <xdr:row>25</xdr:row>
      <xdr:rowOff>74502</xdr:rowOff>
    </xdr:to>
    <xdr:pic>
      <xdr:nvPicPr>
        <xdr:cNvPr id="56" name="Picture 5" descr="VSM-Icons_Inventory">
          <a:extLst>
            <a:ext uri="{FF2B5EF4-FFF2-40B4-BE49-F238E27FC236}">
              <a16:creationId xmlns:a16="http://schemas.microsoft.com/office/drawing/2014/main" id="{8E13538E-FFB3-4A56-960F-7B20C2A7F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6385560" y="4089400"/>
          <a:ext cx="885829" cy="557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694944</xdr:colOff>
      <xdr:row>20</xdr:row>
      <xdr:rowOff>54864</xdr:rowOff>
    </xdr:from>
    <xdr:to>
      <xdr:col>17</xdr:col>
      <xdr:colOff>172597</xdr:colOff>
      <xdr:row>23</xdr:row>
      <xdr:rowOff>63326</xdr:rowOff>
    </xdr:to>
    <xdr:pic>
      <xdr:nvPicPr>
        <xdr:cNvPr id="58" name="Picture 5" descr="VSM-Icons_Inventory">
          <a:extLst>
            <a:ext uri="{FF2B5EF4-FFF2-40B4-BE49-F238E27FC236}">
              <a16:creationId xmlns:a16="http://schemas.microsoft.com/office/drawing/2014/main" id="{0775CE74-38E4-440A-BA2D-9F6857331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35" t="5746" r="9735" b="3448"/>
        <a:stretch>
          <a:fillRect/>
        </a:stretch>
      </xdr:blipFill>
      <xdr:spPr bwMode="auto">
        <a:xfrm>
          <a:off x="12082272" y="3712464"/>
          <a:ext cx="885829" cy="557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50"/>
  <sheetViews>
    <sheetView tabSelected="1" topLeftCell="D6" zoomScale="49" zoomScaleNormal="83" workbookViewId="0">
      <selection activeCell="AH47" sqref="AH47"/>
    </sheetView>
  </sheetViews>
  <sheetFormatPr defaultRowHeight="14.4" x14ac:dyDescent="0.3"/>
  <cols>
    <col min="1" max="1" width="12.77734375" customWidth="1"/>
    <col min="2" max="2" width="8.44140625" customWidth="1"/>
    <col min="3" max="3" width="14.44140625" customWidth="1"/>
    <col min="4" max="4" width="10.77734375" customWidth="1"/>
    <col min="6" max="6" width="10.5546875" customWidth="1"/>
    <col min="7" max="7" width="13.88671875" customWidth="1"/>
    <col min="8" max="8" width="11.6640625" customWidth="1"/>
    <col min="11" max="11" width="14.77734375" customWidth="1"/>
    <col min="12" max="12" width="11.44140625" customWidth="1"/>
    <col min="15" max="15" width="12.77734375" customWidth="1"/>
    <col min="16" max="16" width="11.6640625" customWidth="1"/>
    <col min="19" max="19" width="12.44140625" customWidth="1"/>
    <col min="20" max="20" width="12.88671875" customWidth="1"/>
    <col min="23" max="23" width="15.5546875" customWidth="1"/>
    <col min="24" max="24" width="11.77734375" customWidth="1"/>
    <col min="26" max="26" width="13.6640625" customWidth="1"/>
    <col min="27" max="27" width="13.44140625" customWidth="1"/>
    <col min="28" max="28" width="11" customWidth="1"/>
    <col min="29" max="29" width="10" bestFit="1" customWidth="1"/>
    <col min="31" max="31" width="15.5546875" customWidth="1"/>
    <col min="32" max="32" width="11.6640625" customWidth="1"/>
    <col min="33" max="33" width="15.6640625" customWidth="1"/>
    <col min="34" max="34" width="21.109375" customWidth="1"/>
    <col min="35" max="35" width="14.44140625" customWidth="1"/>
    <col min="36" max="36" width="18.33203125" customWidth="1"/>
    <col min="37" max="37" width="15.77734375" customWidth="1"/>
    <col min="38" max="38" width="15.109375" customWidth="1"/>
    <col min="39" max="39" width="11.88671875" customWidth="1"/>
    <col min="43" max="43" width="14.109375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W4" s="1"/>
      <c r="X4" s="1"/>
    </row>
    <row r="5" spans="1:2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1"/>
      <c r="B14" s="1"/>
      <c r="C14" s="1"/>
      <c r="D14" s="1"/>
      <c r="E14" s="1"/>
      <c r="F14" s="1"/>
      <c r="G14" s="1"/>
      <c r="H14" s="1"/>
      <c r="I14" s="1"/>
      <c r="J14" s="2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">
      <c r="A15" s="1"/>
      <c r="B15" s="1"/>
      <c r="C15" s="1"/>
      <c r="D15" s="1"/>
      <c r="E15" s="1"/>
      <c r="F15" s="1"/>
      <c r="G15" s="1"/>
      <c r="H15" s="1"/>
      <c r="I15" s="1"/>
      <c r="J15" s="2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A16" s="1"/>
      <c r="B16" s="1"/>
      <c r="C16" s="1"/>
      <c r="D16" s="1"/>
      <c r="E16" s="1"/>
      <c r="F16" s="1"/>
      <c r="G16" s="1"/>
      <c r="H16" s="1"/>
      <c r="I16" s="1"/>
      <c r="J16" s="2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32" x14ac:dyDescent="0.3">
      <c r="A17" s="1"/>
      <c r="B17" s="1"/>
      <c r="C17" s="1"/>
      <c r="D17" s="1"/>
      <c r="E17" s="1"/>
      <c r="F17" s="1"/>
      <c r="G17" s="1"/>
      <c r="H17" s="1"/>
      <c r="I17" s="1"/>
      <c r="J17" s="2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3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3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3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3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3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3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3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3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32" ht="15" thickBot="1" x14ac:dyDescent="0.35">
      <c r="A26" s="1"/>
      <c r="B26" s="1"/>
    </row>
    <row r="27" spans="1:32" x14ac:dyDescent="0.3">
      <c r="A27" s="1"/>
      <c r="B27" s="1"/>
      <c r="C27" s="7" t="s">
        <v>6</v>
      </c>
      <c r="D27" s="19">
        <v>1</v>
      </c>
      <c r="E27" s="1"/>
      <c r="F27" s="1"/>
      <c r="G27" s="7" t="s">
        <v>6</v>
      </c>
      <c r="H27" s="19">
        <v>1</v>
      </c>
      <c r="I27" s="1"/>
      <c r="J27" s="1"/>
      <c r="K27" s="7" t="s">
        <v>6</v>
      </c>
      <c r="L27" s="19">
        <v>1</v>
      </c>
      <c r="M27" s="1"/>
      <c r="N27" s="1"/>
      <c r="O27" s="7" t="s">
        <v>6</v>
      </c>
      <c r="P27" s="19">
        <v>1</v>
      </c>
      <c r="Q27" s="1"/>
      <c r="R27" s="1"/>
      <c r="S27" s="7" t="s">
        <v>6</v>
      </c>
      <c r="T27" s="19">
        <v>1</v>
      </c>
      <c r="U27" s="1"/>
      <c r="V27" s="1"/>
      <c r="W27" s="7" t="s">
        <v>6</v>
      </c>
      <c r="X27" s="19">
        <v>1</v>
      </c>
      <c r="AA27" s="7" t="s">
        <v>6</v>
      </c>
      <c r="AB27" s="19">
        <v>1</v>
      </c>
      <c r="AE27" s="7" t="s">
        <v>6</v>
      </c>
      <c r="AF27" s="19">
        <v>1</v>
      </c>
    </row>
    <row r="28" spans="1:32" x14ac:dyDescent="0.3">
      <c r="A28" s="1"/>
      <c r="B28" s="1"/>
      <c r="C28" s="20" t="s">
        <v>7</v>
      </c>
      <c r="D28" s="13">
        <v>1</v>
      </c>
      <c r="E28" s="1"/>
      <c r="F28" s="1"/>
      <c r="G28" s="20" t="s">
        <v>7</v>
      </c>
      <c r="H28" s="13">
        <v>1</v>
      </c>
      <c r="I28" s="1"/>
      <c r="J28" s="1"/>
      <c r="K28" s="20" t="s">
        <v>7</v>
      </c>
      <c r="L28" s="13">
        <v>2</v>
      </c>
      <c r="M28" s="1"/>
      <c r="N28" s="1"/>
      <c r="O28" s="20" t="s">
        <v>7</v>
      </c>
      <c r="P28" s="13">
        <v>2</v>
      </c>
      <c r="Q28" s="1"/>
      <c r="R28" s="1"/>
      <c r="S28" s="20" t="s">
        <v>7</v>
      </c>
      <c r="T28" s="13">
        <v>2</v>
      </c>
      <c r="U28" s="1"/>
      <c r="V28" s="1"/>
      <c r="W28" s="20" t="s">
        <v>7</v>
      </c>
      <c r="X28" s="13">
        <v>1</v>
      </c>
      <c r="AA28" s="20" t="s">
        <v>7</v>
      </c>
      <c r="AB28" s="13">
        <v>1</v>
      </c>
      <c r="AE28" s="20" t="s">
        <v>7</v>
      </c>
      <c r="AF28" s="13">
        <v>3</v>
      </c>
    </row>
    <row r="29" spans="1:32" x14ac:dyDescent="0.3">
      <c r="A29" s="1"/>
      <c r="B29" s="1"/>
      <c r="C29" s="21" t="s">
        <v>12</v>
      </c>
      <c r="D29" s="9" t="s">
        <v>4</v>
      </c>
      <c r="G29" s="21" t="s">
        <v>12</v>
      </c>
      <c r="H29" s="9" t="s">
        <v>20</v>
      </c>
      <c r="K29" s="21" t="s">
        <v>12</v>
      </c>
      <c r="L29" s="9" t="s">
        <v>23</v>
      </c>
      <c r="O29" s="21" t="s">
        <v>12</v>
      </c>
      <c r="P29" s="24" t="s">
        <v>27</v>
      </c>
      <c r="S29" s="21" t="s">
        <v>12</v>
      </c>
      <c r="T29" s="24" t="s">
        <v>15</v>
      </c>
      <c r="W29" s="21" t="s">
        <v>12</v>
      </c>
      <c r="X29" s="9" t="s">
        <v>32</v>
      </c>
      <c r="AA29" s="21" t="s">
        <v>12</v>
      </c>
      <c r="AB29" s="9" t="s">
        <v>5</v>
      </c>
      <c r="AE29" s="21" t="s">
        <v>12</v>
      </c>
      <c r="AF29" s="9" t="s">
        <v>36</v>
      </c>
    </row>
    <row r="30" spans="1:32" x14ac:dyDescent="0.3">
      <c r="A30" s="1"/>
      <c r="B30" s="1"/>
      <c r="C30" s="21" t="s">
        <v>13</v>
      </c>
      <c r="D30" s="9" t="s">
        <v>18</v>
      </c>
      <c r="G30" s="21" t="s">
        <v>13</v>
      </c>
      <c r="H30" s="9" t="s">
        <v>5</v>
      </c>
      <c r="K30" s="21" t="s">
        <v>13</v>
      </c>
      <c r="L30" s="24" t="s">
        <v>24</v>
      </c>
      <c r="O30" s="21" t="s">
        <v>13</v>
      </c>
      <c r="P30" s="9" t="s">
        <v>17</v>
      </c>
      <c r="S30" s="21" t="s">
        <v>13</v>
      </c>
      <c r="T30" s="24" t="s">
        <v>30</v>
      </c>
      <c r="W30" s="21" t="s">
        <v>13</v>
      </c>
      <c r="X30" s="24" t="s">
        <v>33</v>
      </c>
      <c r="AA30" s="21" t="s">
        <v>13</v>
      </c>
      <c r="AB30" s="9" t="s">
        <v>35</v>
      </c>
      <c r="AE30" s="21" t="s">
        <v>13</v>
      </c>
      <c r="AF30" s="24" t="s">
        <v>37</v>
      </c>
    </row>
    <row r="31" spans="1:32" ht="15" thickBot="1" x14ac:dyDescent="0.35">
      <c r="A31" s="1"/>
      <c r="B31" s="1"/>
      <c r="C31" s="22" t="s">
        <v>14</v>
      </c>
      <c r="D31" s="23" t="s">
        <v>19</v>
      </c>
      <c r="E31" s="1"/>
      <c r="F31" s="1"/>
      <c r="G31" s="22" t="s">
        <v>14</v>
      </c>
      <c r="H31" s="23" t="s">
        <v>22</v>
      </c>
      <c r="I31" s="1"/>
      <c r="J31" s="1"/>
      <c r="K31" s="22" t="s">
        <v>14</v>
      </c>
      <c r="L31" s="23" t="s">
        <v>26</v>
      </c>
      <c r="M31" s="1"/>
      <c r="N31" s="1"/>
      <c r="O31" s="22" t="s">
        <v>14</v>
      </c>
      <c r="P31" s="23" t="s">
        <v>28</v>
      </c>
      <c r="Q31" s="1"/>
      <c r="R31" s="1"/>
      <c r="S31" s="22" t="s">
        <v>14</v>
      </c>
      <c r="T31" s="23" t="s">
        <v>16</v>
      </c>
      <c r="U31" s="1"/>
      <c r="V31" s="1"/>
      <c r="W31" s="22" t="s">
        <v>14</v>
      </c>
      <c r="X31" s="23" t="s">
        <v>34</v>
      </c>
      <c r="AA31" s="22" t="s">
        <v>14</v>
      </c>
      <c r="AB31" s="23" t="s">
        <v>24</v>
      </c>
      <c r="AE31" s="22" t="s">
        <v>14</v>
      </c>
      <c r="AF31" s="23" t="s">
        <v>38</v>
      </c>
    </row>
    <row r="32" spans="1:32" x14ac:dyDescent="0.3">
      <c r="A32" s="1"/>
      <c r="B32" s="1"/>
    </row>
    <row r="33" spans="1:72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26"/>
      <c r="K33" s="26"/>
      <c r="L33" s="1"/>
      <c r="M33" s="1"/>
      <c r="N33" s="1"/>
      <c r="O33" s="26"/>
      <c r="P33" s="26"/>
      <c r="Q33" s="1"/>
      <c r="R33" s="1"/>
      <c r="S33" s="26"/>
      <c r="T33" s="26"/>
      <c r="U33" s="1"/>
    </row>
    <row r="34" spans="1:72" x14ac:dyDescent="0.3">
      <c r="A34" s="1" t="str">
        <f>5*60 + 3 &amp; " min"</f>
        <v>303 min</v>
      </c>
      <c r="C34" s="1"/>
      <c r="D34" s="1"/>
      <c r="E34" s="1"/>
      <c r="F34" s="1" t="s">
        <v>21</v>
      </c>
      <c r="G34" s="1"/>
      <c r="H34" s="1"/>
      <c r="I34" s="1"/>
      <c r="J34" s="26" t="s">
        <v>25</v>
      </c>
      <c r="K34" s="26"/>
      <c r="L34" s="1"/>
      <c r="M34" s="1"/>
      <c r="N34" s="1"/>
      <c r="O34" s="26" t="s">
        <v>29</v>
      </c>
      <c r="P34" s="26"/>
      <c r="Q34" s="1"/>
      <c r="R34" s="1"/>
      <c r="S34" s="1"/>
      <c r="T34" s="29" t="s">
        <v>31</v>
      </c>
      <c r="U34" s="29"/>
      <c r="X34" t="s">
        <v>33</v>
      </c>
      <c r="AA34" s="12" t="s">
        <v>35</v>
      </c>
      <c r="AD34" s="15" t="s">
        <v>37</v>
      </c>
      <c r="AF34" t="s">
        <v>9</v>
      </c>
      <c r="AG34" s="7"/>
      <c r="AH34" s="8" t="s">
        <v>0</v>
      </c>
    </row>
    <row r="35" spans="1:72" ht="15.6" x14ac:dyDescent="0.3">
      <c r="A35" s="1"/>
      <c r="B35" s="1"/>
      <c r="C35" s="1" t="s">
        <v>17</v>
      </c>
      <c r="D35" s="1"/>
      <c r="E35" s="1"/>
      <c r="F35" s="1"/>
      <c r="G35" s="2" t="s">
        <v>20</v>
      </c>
      <c r="H35" s="3"/>
      <c r="I35" s="4"/>
      <c r="J35" s="1"/>
      <c r="K35" s="1"/>
      <c r="L35" s="14" t="s">
        <v>23</v>
      </c>
      <c r="M35" s="1"/>
      <c r="N35" s="1"/>
      <c r="O35" s="1"/>
      <c r="P35" s="1"/>
      <c r="Q35" s="1" t="s">
        <v>27</v>
      </c>
      <c r="R35" s="11"/>
      <c r="S35" s="1"/>
      <c r="T35" s="1"/>
      <c r="U35" s="1"/>
      <c r="V35" t="s">
        <v>8</v>
      </c>
      <c r="Z35" t="s">
        <v>32</v>
      </c>
      <c r="AC35" t="s">
        <v>10</v>
      </c>
      <c r="AE35" s="12" t="s">
        <v>39</v>
      </c>
      <c r="AG35" s="10" t="s">
        <v>1</v>
      </c>
      <c r="AH35" s="9">
        <f>303+20+90+1+30+15+70+35</f>
        <v>564</v>
      </c>
    </row>
    <row r="36" spans="1:7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AG36" s="10" t="s">
        <v>2</v>
      </c>
      <c r="AH36" s="9">
        <f>1+1.5+8+6.2+5+3.5+20 +6</f>
        <v>51.2</v>
      </c>
    </row>
    <row r="37" spans="1:7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AG37" s="16" t="s">
        <v>3</v>
      </c>
      <c r="AH37" s="17">
        <f>AH36/AH35</f>
        <v>9.0780141843971637E-2</v>
      </c>
    </row>
    <row r="38" spans="1:72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AG38" s="18" t="s">
        <v>11</v>
      </c>
      <c r="AH38" s="25">
        <f>SUM(D28,H28,L28,P28,T28,X28,AB28,AF28)</f>
        <v>13</v>
      </c>
    </row>
    <row r="39" spans="1:72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72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BD40" s="1"/>
    </row>
    <row r="41" spans="1:72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72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72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72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BQ44" s="1"/>
      <c r="BR44" s="5"/>
    </row>
    <row r="45" spans="1:72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6"/>
      <c r="W45" s="1"/>
      <c r="X45" s="1"/>
      <c r="BO45" s="1"/>
      <c r="BP45" s="1"/>
      <c r="BQ45" s="1"/>
    </row>
    <row r="46" spans="1:72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6"/>
      <c r="W46" s="1"/>
      <c r="X46" s="1"/>
      <c r="BO46" s="1"/>
      <c r="BP46" s="1"/>
      <c r="BQ46" s="1"/>
    </row>
    <row r="47" spans="1:72" x14ac:dyDescent="0.3">
      <c r="BO47" s="26"/>
      <c r="BP47" s="26"/>
      <c r="BQ47" s="26"/>
      <c r="BR47" s="26"/>
      <c r="BS47" s="26"/>
      <c r="BT47" s="26"/>
    </row>
    <row r="48" spans="1:72" x14ac:dyDescent="0.3">
      <c r="BO48" s="1"/>
      <c r="BP48" s="26"/>
      <c r="BQ48" s="26"/>
    </row>
    <row r="49" spans="67:71" x14ac:dyDescent="0.3">
      <c r="BO49" s="1"/>
      <c r="BP49" s="26"/>
      <c r="BQ49" s="26"/>
    </row>
    <row r="50" spans="67:71" x14ac:dyDescent="0.3">
      <c r="BO50" s="1"/>
      <c r="BP50" s="26"/>
      <c r="BQ50" s="26"/>
      <c r="BR50" s="27"/>
      <c r="BS50" s="27"/>
    </row>
  </sheetData>
  <mergeCells count="12">
    <mergeCell ref="BP50:BQ50"/>
    <mergeCell ref="BR50:BS50"/>
    <mergeCell ref="J14:J17"/>
    <mergeCell ref="J33:K33"/>
    <mergeCell ref="O33:P33"/>
    <mergeCell ref="S33:T33"/>
    <mergeCell ref="J34:K34"/>
    <mergeCell ref="O34:P34"/>
    <mergeCell ref="T34:U34"/>
    <mergeCell ref="BO47:BT47"/>
    <mergeCell ref="BP48:BQ48"/>
    <mergeCell ref="BP49:BQ4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AC199C4A6DCC47B2BD81E49691EC5B" ma:contentTypeVersion="3" ma:contentTypeDescription="Create a new document." ma:contentTypeScope="" ma:versionID="9e7c3006ed13c2fd0326d94565aa5631">
  <xsd:schema xmlns:xsd="http://www.w3.org/2001/XMLSchema" xmlns:xs="http://www.w3.org/2001/XMLSchema" xmlns:p="http://schemas.microsoft.com/office/2006/metadata/properties" xmlns:ns2="212845db-21b4-4109-b84a-c31f52b7f4fb" targetNamespace="http://schemas.microsoft.com/office/2006/metadata/properties" ma:root="true" ma:fieldsID="18712b5ba6bae41855b8bad45b00da59" ns2:_="">
    <xsd:import namespace="212845db-21b4-4109-b84a-c31f52b7f4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845db-21b4-4109-b84a-c31f52b7f4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432E18-F0C3-4F2F-A9F9-12BF13BC59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C53618-CAB1-4D71-816E-CFB73FE0E792}">
  <ds:schemaRefs>
    <ds:schemaRef ds:uri="212845db-21b4-4109-b84a-c31f52b7f4fb"/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12E1F48-791D-4ED2-B018-E63EC3064D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2845db-21b4-4109-b84a-c31f52b7f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TCC</dc:creator>
  <cp:keywords/>
  <dc:description/>
  <cp:lastModifiedBy>OMAR ABDALJALEEL</cp:lastModifiedBy>
  <cp:revision/>
  <dcterms:created xsi:type="dcterms:W3CDTF">2021-06-19T07:56:52Z</dcterms:created>
  <dcterms:modified xsi:type="dcterms:W3CDTF">2026-04-19T12:28:19Z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0x01010082AC199C4A6DCC47B2BD81E49691EC5B</vt:lpwstr>
  </property>
</Properties>
</file>