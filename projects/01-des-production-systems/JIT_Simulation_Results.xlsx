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T_Raw_Data" sheetId="1" state="visible" r:id="rId3"/>
    <sheet name="Push_vs_JIT_Comparison" sheetId="2" state="visible" r:id="rId4"/>
    <sheet name="Full_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<sst xmlns="http://schemas.openxmlformats.org/spreadsheetml/2006/main" count="141" uniqueCount="91">
  <si>
    <t xml:space="preserve">JIT SYSTEM — Simulation Results (10 Replications)</t>
  </si>
  <si>
    <t xml:space="preserve">Kanban pull system | Buffer capacity=11 | Supplier delay: triangular(30,40,50) min | 5% disruption rate | Defect rate: 3%</t>
  </si>
  <si>
    <t xml:space="preserve">Run #</t>
  </si>
  <si>
    <t xml:space="preserve">Throughput
(cars)</t>
  </si>
  <si>
    <t xml:space="preserve">Final WIP
(cars)</t>
  </si>
  <si>
    <t xml:space="preserve">Lead Time
(seconds)</t>
  </si>
  <si>
    <t xml:space="preserve">Lead Time
(minutes)</t>
  </si>
  <si>
    <t xml:space="preserve">Util Station 1
(%)</t>
  </si>
  <si>
    <t xml:space="preserve">Util Station 2
(%)</t>
  </si>
  <si>
    <t xml:space="preserve">Util Station 3
(%)</t>
  </si>
  <si>
    <t xml:space="preserve">Avg Util
(%)</t>
  </si>
  <si>
    <t xml:space="preserve">Disruption
Count</t>
  </si>
  <si>
    <t xml:space="preserve">Notes</t>
  </si>
  <si>
    <t xml:space="preserve">Status</t>
  </si>
  <si>
    <t xml:space="preserve">✓ Done</t>
  </si>
  <si>
    <t xml:space="preserve">AVERAGE</t>
  </si>
  <si>
    <t xml:space="preserve">STD DEV</t>
  </si>
  <si>
    <t xml:space="preserve">MIN</t>
  </si>
  <si>
    <t xml:space="preserve">MAX</t>
  </si>
  <si>
    <t xml:space="preserve">PUSH vs JIT — KPI Comparison (Statistical Analysis)</t>
  </si>
  <si>
    <t xml:space="preserve">KPI</t>
  </si>
  <si>
    <t xml:space="preserve">Unit</t>
  </si>
  <si>
    <t xml:space="preserve">PUSH
Mean ± SD</t>
  </si>
  <si>
    <t xml:space="preserve">JIT
Mean ± SD</t>
  </si>
  <si>
    <t xml:space="preserve">Δ Change
(JIT vs Push)</t>
  </si>
  <si>
    <t xml:space="preserve">% Change</t>
  </si>
  <si>
    <t xml:space="preserve">Better
System</t>
  </si>
  <si>
    <t xml:space="preserve">Source</t>
  </si>
  <si>
    <t xml:space="preserve">Throughput</t>
  </si>
  <si>
    <t xml:space="preserve">cars/shift</t>
  </si>
  <si>
    <t xml:space="preserve">127.5 ± 6.8</t>
  </si>
  <si>
    <t xml:space="preserve">79.8 ± 50.9</t>
  </si>
  <si>
    <t xml:space="preserve">-47.7</t>
  </si>
  <si>
    <t xml:space="preserve">-37.4%</t>
  </si>
  <si>
    <t xml:space="preserve">Push</t>
  </si>
  <si>
    <t xml:space="preserve">Mahin et al. (2024)</t>
  </si>
  <si>
    <t xml:space="preserve">WIP Inventory</t>
  </si>
  <si>
    <t xml:space="preserve">cars</t>
  </si>
  <si>
    <t xml:space="preserve">37.1 ± 14.6</t>
  </si>
  <si>
    <t xml:space="preserve">9.7 ± 2.1</t>
  </si>
  <si>
    <t xml:space="preserve">-27.4</t>
  </si>
  <si>
    <t xml:space="preserve">-73.9%</t>
  </si>
  <si>
    <t xml:space="preserve">JIT ✓</t>
  </si>
  <si>
    <t xml:space="preserve">Pawlewski (2012)</t>
  </si>
  <si>
    <t xml:space="preserve">Lead Time</t>
  </si>
  <si>
    <t xml:space="preserve">minutes</t>
  </si>
  <si>
    <t xml:space="preserve">115.4 ± 35.3</t>
  </si>
  <si>
    <t xml:space="preserve">67.5 ± 53.4</t>
  </si>
  <si>
    <t xml:space="preserve">-47.9</t>
  </si>
  <si>
    <t xml:space="preserve">-41.5%</t>
  </si>
  <si>
    <t xml:space="preserve">Wang &amp; Chen (2016)</t>
  </si>
  <si>
    <t xml:space="preserve">Avg Utilization</t>
  </si>
  <si>
    <t xml:space="preserve">%</t>
  </si>
  <si>
    <t xml:space="preserve">96.6 ± 4.8</t>
  </si>
  <si>
    <t xml:space="preserve">93.7 ± 9.0</t>
  </si>
  <si>
    <t xml:space="preserve">-2.9</t>
  </si>
  <si>
    <t xml:space="preserve">-3.0%</t>
  </si>
  <si>
    <t xml:space="preserve">—</t>
  </si>
  <si>
    <t xml:space="preserve">Disruptions</t>
  </si>
  <si>
    <t xml:space="preserve">per shift</t>
  </si>
  <si>
    <t xml:space="preserve">0 (N/A)</t>
  </si>
  <si>
    <t xml:space="preserve">1.2 ± 0.9</t>
  </si>
  <si>
    <t xml:space="preserve">+1.2</t>
  </si>
  <si>
    <t xml:space="preserve">N/A</t>
  </si>
  <si>
    <t xml:space="preserve">Push (0 disruptions)</t>
  </si>
  <si>
    <t xml:space="preserve">Andjelković (2025)</t>
  </si>
  <si>
    <t xml:space="preserve">Throughput
Variability (CV)</t>
  </si>
  <si>
    <t xml:space="preserve">ratio</t>
  </si>
  <si>
    <t xml:space="preserve">0.054</t>
  </si>
  <si>
    <t xml:space="preserve">0.638</t>
  </si>
  <si>
    <t xml:space="preserve">+0.584</t>
  </si>
  <si>
    <t xml:space="preserve">JIT 11.9× higher</t>
  </si>
  <si>
    <t xml:space="preserve">Push (more stable)</t>
  </si>
  <si>
    <t xml:space="preserve">Sand et al. (2023)</t>
  </si>
  <si>
    <t xml:space="preserve">KEY RESEARCH FINDINGS</t>
  </si>
  <si>
    <t xml:space="preserve">1. JIT reduced WIP inventory by 74% (from 37.1 to 9.7 cars) — consistent with Pawlewski et al. (2012) finding of 45% container reduction.</t>
  </si>
  <si>
    <t xml:space="preserve">2. JIT reduced lead time by 41% (from 115.4 to 67.5 min) — consistent with Wang &amp; Chen (2016) findings.</t>
  </si>
  <si>
    <t xml:space="preserve">3. JIT throughput was 37% lower than Push (79.8 vs 127.5 cars), with 11.9× higher variability (CV).</t>
  </si>
  <si>
    <t xml:space="preserve">4. JIT experienced an average of 1.2 supply disruptions per shift, demonstrating the system's vulnerability (Andjelković et al., 2025).</t>
  </si>
  <si>
    <t xml:space="preserve">5. The trade-off: JIT achieves lean inventory at the cost of throughput stability — a key managerial consideration for automotive OEMs.</t>
  </si>
  <si>
    <t xml:space="preserve">COMPLETE KPI COMPARISON — Push vs JIT vs JIS (JIS to be added)</t>
  </si>
  <si>
    <t xml:space="preserve">PUSH
(Mean ± SD)</t>
  </si>
  <si>
    <t xml:space="preserve">JIT
(Mean ± SD)</t>
  </si>
  <si>
    <t xml:space="preserve">JIS
(Mean ± SD)</t>
  </si>
  <si>
    <t xml:space="preserve">Best System</t>
  </si>
  <si>
    <t xml:space="preserve">Literature Source</t>
  </si>
  <si>
    <t xml:space="preserve">TBD</t>
  </si>
  <si>
    <t xml:space="preserve">Standard metric</t>
  </si>
  <si>
    <t xml:space="preserve">0</t>
  </si>
  <si>
    <t xml:space="preserve">Throughput CV</t>
  </si>
  <si>
    <t xml:space="preserve">Push (stable)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</si>
</sst>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0F6E5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8" min="6" style="0" width="15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8" hidden="false" customHeight="true" outlineLevel="0" collapsed="false">
      <c r="A4" s="4" t="n">
        <v>1</v>
      </c>
      <c r="B4" s="4" t="n">
        <v>130</v>
      </c>
      <c r="C4" s="4" t="n">
        <v>6</v>
      </c>
      <c r="D4" s="4" t="n">
        <v>2632.194</v>
      </c>
      <c r="E4" s="4" t="n">
        <v>43.87</v>
      </c>
      <c r="F4" s="4" t="n">
        <v>99.191</v>
      </c>
      <c r="G4" s="4" t="n">
        <v>98.67</v>
      </c>
      <c r="H4" s="4" t="n">
        <v>97.703</v>
      </c>
      <c r="I4" s="4" t="n">
        <f aca="false">AVERAGE(F4:H4)</f>
        <v>98.5213333333334</v>
      </c>
      <c r="J4" s="4" t="n">
        <v>1</v>
      </c>
      <c r="K4" s="4"/>
      <c r="L4" s="5" t="s">
        <v>14</v>
      </c>
    </row>
    <row r="5" customFormat="false" ht="18" hidden="false" customHeight="true" outlineLevel="0" collapsed="false">
      <c r="A5" s="6" t="n">
        <v>2</v>
      </c>
      <c r="B5" s="6" t="n">
        <v>101</v>
      </c>
      <c r="C5" s="6" t="n">
        <v>11</v>
      </c>
      <c r="D5" s="6" t="n">
        <v>1912.477</v>
      </c>
      <c r="E5" s="6" t="n">
        <v>31.87</v>
      </c>
      <c r="F5" s="6" t="n">
        <v>97.696</v>
      </c>
      <c r="G5" s="6" t="n">
        <v>96.943</v>
      </c>
      <c r="H5" s="6" t="n">
        <v>95.665</v>
      </c>
      <c r="I5" s="6" t="n">
        <f aca="false">AVERAGE(F5:H5)</f>
        <v>96.768</v>
      </c>
      <c r="J5" s="6" t="n">
        <v>2</v>
      </c>
      <c r="K5" s="6"/>
      <c r="L5" s="7" t="s">
        <v>14</v>
      </c>
    </row>
    <row r="6" customFormat="false" ht="18" hidden="false" customHeight="true" outlineLevel="0" collapsed="false">
      <c r="A6" s="4" t="n">
        <v>3</v>
      </c>
      <c r="B6" s="4" t="n">
        <v>131</v>
      </c>
      <c r="C6" s="4" t="n">
        <v>7</v>
      </c>
      <c r="D6" s="4" t="n">
        <v>944.523</v>
      </c>
      <c r="E6" s="4" t="n">
        <v>15.74</v>
      </c>
      <c r="F6" s="4" t="n">
        <v>98.249</v>
      </c>
      <c r="G6" s="4" t="n">
        <v>97.746</v>
      </c>
      <c r="H6" s="4" t="n">
        <v>96.818</v>
      </c>
      <c r="I6" s="4" t="n">
        <f aca="false">AVERAGE(F6:H6)</f>
        <v>97.6043333333333</v>
      </c>
      <c r="J6" s="4" t="n">
        <v>1</v>
      </c>
      <c r="K6" s="4"/>
      <c r="L6" s="5" t="s">
        <v>14</v>
      </c>
    </row>
    <row r="7" customFormat="false" ht="18" hidden="false" customHeight="true" outlineLevel="0" collapsed="false">
      <c r="A7" s="6" t="n">
        <v>4</v>
      </c>
      <c r="B7" s="6" t="n">
        <v>47</v>
      </c>
      <c r="C7" s="6" t="n">
        <v>11</v>
      </c>
      <c r="D7" s="6" t="n">
        <v>11344.822</v>
      </c>
      <c r="E7" s="6" t="n">
        <v>189.08</v>
      </c>
      <c r="F7" s="6" t="n">
        <v>92.871</v>
      </c>
      <c r="G7" s="6" t="n">
        <v>91.424</v>
      </c>
      <c r="H7" s="6" t="n">
        <v>89.095</v>
      </c>
      <c r="I7" s="6" t="n">
        <f aca="false">AVERAGE(F7:H7)</f>
        <v>91.13</v>
      </c>
      <c r="J7" s="6" t="n">
        <v>1</v>
      </c>
      <c r="K7" s="6"/>
      <c r="L7" s="7" t="s">
        <v>14</v>
      </c>
    </row>
    <row r="8" customFormat="false" ht="18" hidden="false" customHeight="true" outlineLevel="0" collapsed="false">
      <c r="A8" s="4" t="n">
        <v>5</v>
      </c>
      <c r="B8" s="4" t="n">
        <v>132</v>
      </c>
      <c r="C8" s="4" t="n">
        <v>7</v>
      </c>
      <c r="D8" s="4" t="n">
        <v>2563.337</v>
      </c>
      <c r="E8" s="4" t="n">
        <v>42.72</v>
      </c>
      <c r="F8" s="4" t="n">
        <v>99.789</v>
      </c>
      <c r="G8" s="4" t="n">
        <v>99.153</v>
      </c>
      <c r="H8" s="4" t="n">
        <v>98.117</v>
      </c>
      <c r="I8" s="4" t="n">
        <f aca="false">AVERAGE(F8:H8)</f>
        <v>99.0196666666667</v>
      </c>
      <c r="J8" s="4" t="n">
        <v>3</v>
      </c>
      <c r="K8" s="4"/>
      <c r="L8" s="5" t="s">
        <v>14</v>
      </c>
    </row>
    <row r="9" customFormat="false" ht="18" hidden="false" customHeight="true" outlineLevel="0" collapsed="false">
      <c r="A9" s="6" t="n">
        <v>6</v>
      </c>
      <c r="B9" s="6" t="n">
        <v>129</v>
      </c>
      <c r="C9" s="6" t="n">
        <v>11</v>
      </c>
      <c r="D9" s="6" t="n">
        <v>3022.728</v>
      </c>
      <c r="E9" s="6" t="n">
        <v>50.38</v>
      </c>
      <c r="F9" s="6" t="n">
        <v>99.68</v>
      </c>
      <c r="G9" s="6" t="n">
        <v>99.015</v>
      </c>
      <c r="H9" s="6" t="n">
        <v>98.03</v>
      </c>
      <c r="I9" s="6" t="n">
        <f aca="false">AVERAGE(F9:H9)</f>
        <v>98.9083333333334</v>
      </c>
      <c r="J9" s="6" t="n">
        <v>0</v>
      </c>
      <c r="K9" s="6"/>
      <c r="L9" s="7" t="s">
        <v>14</v>
      </c>
    </row>
    <row r="10" customFormat="false" ht="18" hidden="false" customHeight="true" outlineLevel="0" collapsed="false">
      <c r="A10" s="4" t="n">
        <v>7</v>
      </c>
      <c r="B10" s="4" t="n">
        <v>13</v>
      </c>
      <c r="C10" s="4" t="n">
        <v>11</v>
      </c>
      <c r="D10" s="4" t="n">
        <v>3358.004</v>
      </c>
      <c r="E10" s="4" t="n">
        <v>55.97</v>
      </c>
      <c r="F10" s="4" t="n">
        <v>97.115</v>
      </c>
      <c r="G10" s="4" t="n">
        <v>91.719</v>
      </c>
      <c r="H10" s="4" t="n">
        <v>85.483</v>
      </c>
      <c r="I10" s="4" t="n">
        <f aca="false">AVERAGE(F10:H10)</f>
        <v>91.439</v>
      </c>
      <c r="J10" s="4" t="n">
        <v>1</v>
      </c>
      <c r="K10" s="4"/>
      <c r="L10" s="5" t="s">
        <v>14</v>
      </c>
    </row>
    <row r="11" customFormat="false" ht="18" hidden="false" customHeight="true" outlineLevel="0" collapsed="false">
      <c r="A11" s="6" t="n">
        <v>8</v>
      </c>
      <c r="B11" s="6" t="n">
        <v>70</v>
      </c>
      <c r="C11" s="6" t="n">
        <v>11</v>
      </c>
      <c r="D11" s="6" t="n">
        <v>2958.894</v>
      </c>
      <c r="E11" s="6" t="n">
        <v>49.31</v>
      </c>
      <c r="F11" s="6" t="n">
        <v>98.292</v>
      </c>
      <c r="G11" s="6" t="n">
        <v>97.275</v>
      </c>
      <c r="H11" s="6" t="n">
        <v>95.54</v>
      </c>
      <c r="I11" s="6" t="n">
        <f aca="false">AVERAGE(F11:H11)</f>
        <v>97.0356666666667</v>
      </c>
      <c r="J11" s="6" t="n">
        <v>1</v>
      </c>
      <c r="K11" s="6"/>
      <c r="L11" s="7" t="s">
        <v>14</v>
      </c>
    </row>
    <row r="12" customFormat="false" ht="18" hidden="false" customHeight="true" outlineLevel="0" collapsed="false">
      <c r="A12" s="4" t="n">
        <v>9</v>
      </c>
      <c r="B12" s="4" t="n">
        <v>9</v>
      </c>
      <c r="C12" s="4" t="n">
        <v>11</v>
      </c>
      <c r="D12" s="4" t="n">
        <v>3527.173</v>
      </c>
      <c r="E12" s="4" t="n">
        <v>58.79</v>
      </c>
      <c r="F12" s="4" t="n">
        <v>73.314</v>
      </c>
      <c r="G12" s="4" t="n">
        <v>69.319</v>
      </c>
      <c r="H12" s="4" t="n">
        <v>65.488</v>
      </c>
      <c r="I12" s="4" t="n">
        <f aca="false">AVERAGE(F12:H12)</f>
        <v>69.3736666666667</v>
      </c>
      <c r="J12" s="4" t="n">
        <v>2</v>
      </c>
      <c r="K12" s="4"/>
      <c r="L12" s="5" t="s">
        <v>14</v>
      </c>
    </row>
    <row r="13" customFormat="false" ht="18" hidden="false" customHeight="true" outlineLevel="0" collapsed="false">
      <c r="A13" s="6" t="n">
        <v>10</v>
      </c>
      <c r="B13" s="6" t="n">
        <v>36</v>
      </c>
      <c r="C13" s="6" t="n">
        <v>11</v>
      </c>
      <c r="D13" s="6" t="n">
        <v>8247.954</v>
      </c>
      <c r="E13" s="6" t="n">
        <v>137.47</v>
      </c>
      <c r="F13" s="6" t="n">
        <v>98.78</v>
      </c>
      <c r="G13" s="6" t="n">
        <v>97.048</v>
      </c>
      <c r="H13" s="6" t="n">
        <v>94.555</v>
      </c>
      <c r="I13" s="6" t="n">
        <f aca="false">AVERAGE(F13:H13)</f>
        <v>96.7943333333333</v>
      </c>
      <c r="J13" s="6" t="n">
        <v>0</v>
      </c>
      <c r="K13" s="6"/>
      <c r="L13" s="7" t="s">
        <v>14</v>
      </c>
    </row>
    <row r="15" customFormat="false" ht="19.5" hidden="false" customHeight="true" outlineLevel="0" collapsed="false">
      <c r="A15" s="8" t="s">
        <v>15</v>
      </c>
      <c r="B15" s="8" t="n">
        <f aca="false">AVERAGE(B4:B13)</f>
        <v>79.8</v>
      </c>
      <c r="C15" s="8" t="n">
        <f aca="false">AVERAGE(C4:C13)</f>
        <v>9.7</v>
      </c>
      <c r="D15" s="8" t="n">
        <f aca="false">AVERAGE(D4:D13)</f>
        <v>4051.2106</v>
      </c>
      <c r="E15" s="8" t="n">
        <f aca="false">AVERAGE(E4:E13)</f>
        <v>67.52</v>
      </c>
      <c r="F15" s="8" t="n">
        <f aca="false">AVERAGE(F4:F13)</f>
        <v>95.4977</v>
      </c>
      <c r="G15" s="8" t="n">
        <f aca="false">AVERAGE(G4:G13)</f>
        <v>93.8312</v>
      </c>
      <c r="H15" s="8" t="n">
        <f aca="false">AVERAGE(H4:H13)</f>
        <v>91.6494</v>
      </c>
      <c r="I15" s="8" t="n">
        <f aca="false">AVERAGE(I4:I13)</f>
        <v>93.6594333333333</v>
      </c>
      <c r="J15" s="8" t="n">
        <f aca="false">AVERAGE(J4:J13)</f>
        <v>1.2</v>
      </c>
      <c r="K15" s="9"/>
      <c r="L15" s="9"/>
    </row>
    <row r="16" customFormat="false" ht="19.5" hidden="false" customHeight="true" outlineLevel="0" collapsed="false">
      <c r="A16" s="10" t="s">
        <v>16</v>
      </c>
      <c r="B16" s="11" t="n">
        <f aca="false">STDEV(B4:B13)</f>
        <v>50.8828720363411</v>
      </c>
      <c r="C16" s="11" t="n">
        <f aca="false">STDEV(C4:C13)</f>
        <v>2.11081869319834</v>
      </c>
      <c r="D16" s="11" t="n">
        <f aca="false">STDEV(D4:D13)</f>
        <v>3201.8843487634</v>
      </c>
      <c r="E16" s="11" t="n">
        <f aca="false">STDEV(E4:E13)</f>
        <v>53.3659156724173</v>
      </c>
      <c r="F16" s="11" t="n">
        <f aca="false">STDEV(F4:F13)</f>
        <v>8.04268399160933</v>
      </c>
      <c r="G16" s="11" t="n">
        <f aca="false">STDEV(G4:G13)</f>
        <v>9.04880465770664</v>
      </c>
      <c r="H16" s="11" t="n">
        <f aca="false">STDEV(H4:H13)</f>
        <v>10.0806471705827</v>
      </c>
      <c r="I16" s="11" t="n">
        <f aca="false">STDEV(I4:I13)</f>
        <v>8.99073545522979</v>
      </c>
      <c r="J16" s="11" t="n">
        <f aca="false">STDEV(J4:J13)</f>
        <v>0.918936583472682</v>
      </c>
      <c r="K16" s="11"/>
      <c r="L16" s="11"/>
    </row>
    <row r="17" customFormat="false" ht="19.5" hidden="false" customHeight="true" outlineLevel="0" collapsed="false">
      <c r="A17" s="12" t="s">
        <v>17</v>
      </c>
      <c r="B17" s="13" t="n">
        <f aca="false">MIN(B4:B13)</f>
        <v>9</v>
      </c>
      <c r="C17" s="13" t="n">
        <f aca="false">MIN(C4:C13)</f>
        <v>6</v>
      </c>
      <c r="D17" s="13" t="n">
        <f aca="false">MIN(D4:D13)</f>
        <v>944.523</v>
      </c>
      <c r="E17" s="13" t="n">
        <f aca="false">MIN(E4:E13)</f>
        <v>15.74</v>
      </c>
      <c r="F17" s="13" t="n">
        <f aca="false">MIN(F4:F13)</f>
        <v>73.314</v>
      </c>
      <c r="G17" s="13" t="n">
        <f aca="false">MIN(G4:G13)</f>
        <v>69.319</v>
      </c>
      <c r="H17" s="13" t="n">
        <f aca="false">MIN(H4:H13)</f>
        <v>65.488</v>
      </c>
      <c r="I17" s="13" t="n">
        <f aca="false">MIN(I4:I13)</f>
        <v>69.3736666666667</v>
      </c>
      <c r="J17" s="13" t="n">
        <f aca="false">MIN(J4:J13)</f>
        <v>0</v>
      </c>
      <c r="K17" s="13"/>
      <c r="L17" s="13"/>
    </row>
    <row r="18" customFormat="false" ht="19.5" hidden="false" customHeight="true" outlineLevel="0" collapsed="false">
      <c r="A18" s="14" t="s">
        <v>18</v>
      </c>
      <c r="B18" s="15" t="n">
        <f aca="false">MAX(B4:B13)</f>
        <v>132</v>
      </c>
      <c r="C18" s="15" t="n">
        <f aca="false">MAX(C4:C13)</f>
        <v>11</v>
      </c>
      <c r="D18" s="15" t="n">
        <f aca="false">MAX(D4:D13)</f>
        <v>11344.822</v>
      </c>
      <c r="E18" s="15" t="n">
        <f aca="false">MAX(E4:E13)</f>
        <v>189.08</v>
      </c>
      <c r="F18" s="15" t="n">
        <f aca="false">MAX(F4:F13)</f>
        <v>99.789</v>
      </c>
      <c r="G18" s="15" t="n">
        <f aca="false">MAX(G4:G13)</f>
        <v>99.153</v>
      </c>
      <c r="H18" s="15" t="n">
        <f aca="false">MAX(H4:H13)</f>
        <v>98.117</v>
      </c>
      <c r="I18" s="15" t="n">
        <f aca="false">MAX(I4:I13)</f>
        <v>99.0196666666667</v>
      </c>
      <c r="J18" s="15" t="n">
        <f aca="false">MAX(J4:J13)</f>
        <v>3</v>
      </c>
      <c r="K18" s="15"/>
      <c r="L18" s="1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6" t="s">
        <v>19</v>
      </c>
      <c r="B1" s="16"/>
      <c r="C1" s="16"/>
      <c r="D1" s="16"/>
      <c r="E1" s="16"/>
      <c r="F1" s="16"/>
      <c r="G1" s="16"/>
      <c r="H1" s="16"/>
    </row>
    <row r="2" customFormat="false" ht="45" hidden="false" customHeight="tru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</row>
    <row r="3" customFormat="false" ht="24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5" t="s">
        <v>33</v>
      </c>
      <c r="G3" s="4" t="s">
        <v>34</v>
      </c>
      <c r="H3" s="17" t="s">
        <v>35</v>
      </c>
    </row>
    <row r="4" customFormat="false" ht="24" hidden="false" customHeight="tru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7" t="s">
        <v>41</v>
      </c>
      <c r="G4" s="6" t="s">
        <v>42</v>
      </c>
      <c r="H4" s="18" t="s">
        <v>43</v>
      </c>
    </row>
    <row r="5" customFormat="false" ht="24" hidden="false" customHeight="true" outlineLevel="0" collapsed="false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5" t="s">
        <v>49</v>
      </c>
      <c r="G5" s="4" t="s">
        <v>42</v>
      </c>
      <c r="H5" s="17" t="s">
        <v>50</v>
      </c>
    </row>
    <row r="6" customFormat="false" ht="24" hidden="false" customHeight="true" outlineLevel="0" collapsed="false">
      <c r="A6" s="6" t="s">
        <v>51</v>
      </c>
      <c r="B6" s="6" t="s">
        <v>52</v>
      </c>
      <c r="C6" s="6" t="s">
        <v>53</v>
      </c>
      <c r="D6" s="6" t="s">
        <v>54</v>
      </c>
      <c r="E6" s="6" t="s">
        <v>55</v>
      </c>
      <c r="F6" s="7" t="s">
        <v>56</v>
      </c>
      <c r="G6" s="6" t="s">
        <v>57</v>
      </c>
      <c r="H6" s="18" t="s">
        <v>50</v>
      </c>
    </row>
    <row r="7" customFormat="false" ht="24" hidden="false" customHeight="true" outlineLevel="0" collapsed="false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17" t="s">
        <v>65</v>
      </c>
    </row>
    <row r="8" customFormat="false" ht="24" hidden="false" customHeight="true" outlineLevel="0" collapsed="false">
      <c r="A8" s="19" t="s">
        <v>66</v>
      </c>
      <c r="B8" s="6" t="s">
        <v>67</v>
      </c>
      <c r="C8" s="6" t="s">
        <v>68</v>
      </c>
      <c r="D8" s="6" t="s">
        <v>69</v>
      </c>
      <c r="E8" s="6" t="s">
        <v>70</v>
      </c>
      <c r="F8" s="6" t="s">
        <v>71</v>
      </c>
      <c r="G8" s="6" t="s">
        <v>72</v>
      </c>
      <c r="H8" s="18" t="s">
        <v>73</v>
      </c>
    </row>
    <row r="10" customFormat="false" ht="15" hidden="false" customHeight="false" outlineLevel="0" collapsed="false">
      <c r="A10" s="20" t="s">
        <v>74</v>
      </c>
      <c r="B10" s="20"/>
      <c r="C10" s="20"/>
      <c r="D10" s="20"/>
      <c r="E10" s="20"/>
      <c r="F10" s="20"/>
      <c r="G10" s="20"/>
      <c r="H10" s="20"/>
    </row>
    <row r="11" customFormat="false" ht="27.75" hidden="false" customHeight="true" outlineLevel="0" collapsed="false">
      <c r="A11" s="21" t="s">
        <v>75</v>
      </c>
      <c r="B11" s="21"/>
      <c r="C11" s="21"/>
      <c r="D11" s="21"/>
      <c r="E11" s="21"/>
      <c r="F11" s="21"/>
      <c r="G11" s="21"/>
      <c r="H11" s="21"/>
    </row>
    <row r="12" customFormat="false" ht="27.75" hidden="false" customHeight="true" outlineLevel="0" collapsed="false">
      <c r="A12" s="21" t="s">
        <v>76</v>
      </c>
      <c r="B12" s="21"/>
      <c r="C12" s="21"/>
      <c r="D12" s="21"/>
      <c r="E12" s="21"/>
      <c r="F12" s="21"/>
      <c r="G12" s="21"/>
      <c r="H12" s="21"/>
    </row>
    <row r="13" customFormat="false" ht="27.75" hidden="false" customHeight="true" outlineLevel="0" collapsed="false">
      <c r="A13" s="21" t="s">
        <v>77</v>
      </c>
      <c r="B13" s="21"/>
      <c r="C13" s="21"/>
      <c r="D13" s="21"/>
      <c r="E13" s="21"/>
      <c r="F13" s="21"/>
      <c r="G13" s="21"/>
      <c r="H13" s="21"/>
    </row>
    <row r="14" customFormat="false" ht="27.75" hidden="false" customHeight="true" outlineLevel="0" collapsed="false">
      <c r="A14" s="21" t="s">
        <v>78</v>
      </c>
      <c r="B14" s="21"/>
      <c r="C14" s="21"/>
      <c r="D14" s="21"/>
      <c r="E14" s="21"/>
      <c r="F14" s="21"/>
      <c r="G14" s="21"/>
      <c r="H14" s="21"/>
    </row>
    <row r="15" customFormat="false" ht="27.75" hidden="false" customHeight="true" outlineLevel="0" collapsed="false">
      <c r="A15" s="21" t="s">
        <v>79</v>
      </c>
      <c r="B15" s="21"/>
      <c r="C15" s="21"/>
      <c r="D15" s="21"/>
      <c r="E15" s="21"/>
      <c r="F15" s="21"/>
      <c r="G15" s="21"/>
      <c r="H15" s="21"/>
    </row>
  </sheetData>
  <mergeCells count="7">
    <mergeCell ref="A1:H1"/>
    <mergeCell ref="A10:H10"/>
    <mergeCell ref="A11:H11"/>
    <mergeCell ref="A12:H12"/>
    <mergeCell ref="A13:H13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22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6" t="s">
        <v>80</v>
      </c>
      <c r="B1" s="16"/>
      <c r="C1" s="16"/>
      <c r="D1" s="16"/>
      <c r="E1" s="16"/>
      <c r="F1" s="16"/>
      <c r="G1" s="16"/>
    </row>
    <row r="2" customFormat="false" ht="39.75" hidden="false" customHeight="true" outlineLevel="0" collapsed="false">
      <c r="A2" s="3" t="s">
        <v>20</v>
      </c>
      <c r="B2" s="3" t="s">
        <v>21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</row>
    <row r="3" customFormat="false" ht="21.75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86</v>
      </c>
      <c r="F3" s="4" t="s">
        <v>34</v>
      </c>
      <c r="G3" s="17" t="s">
        <v>35</v>
      </c>
    </row>
    <row r="4" customFormat="false" ht="21.75" hidden="false" customHeight="tru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86</v>
      </c>
      <c r="F4" s="6" t="s">
        <v>42</v>
      </c>
      <c r="G4" s="18" t="s">
        <v>43</v>
      </c>
    </row>
    <row r="5" customFormat="false" ht="21.75" hidden="false" customHeight="true" outlineLevel="0" collapsed="false">
      <c r="A5" s="4" t="s">
        <v>44</v>
      </c>
      <c r="B5" s="4" t="s">
        <v>45</v>
      </c>
      <c r="C5" s="4" t="s">
        <v>46</v>
      </c>
      <c r="D5" s="4" t="s">
        <v>47</v>
      </c>
      <c r="E5" s="4" t="s">
        <v>86</v>
      </c>
      <c r="F5" s="4" t="s">
        <v>42</v>
      </c>
      <c r="G5" s="17" t="s">
        <v>50</v>
      </c>
    </row>
    <row r="6" customFormat="false" ht="21.75" hidden="false" customHeight="true" outlineLevel="0" collapsed="false">
      <c r="A6" s="6" t="s">
        <v>51</v>
      </c>
      <c r="B6" s="6" t="s">
        <v>52</v>
      </c>
      <c r="C6" s="6" t="s">
        <v>53</v>
      </c>
      <c r="D6" s="6" t="s">
        <v>54</v>
      </c>
      <c r="E6" s="6" t="s">
        <v>86</v>
      </c>
      <c r="F6" s="6" t="s">
        <v>57</v>
      </c>
      <c r="G6" s="18" t="s">
        <v>87</v>
      </c>
    </row>
    <row r="7" customFormat="false" ht="21.75" hidden="false" customHeight="true" outlineLevel="0" collapsed="false">
      <c r="A7" s="4" t="s">
        <v>58</v>
      </c>
      <c r="B7" s="4" t="s">
        <v>59</v>
      </c>
      <c r="C7" s="4" t="s">
        <v>88</v>
      </c>
      <c r="D7" s="4" t="s">
        <v>61</v>
      </c>
      <c r="E7" s="4" t="s">
        <v>86</v>
      </c>
      <c r="F7" s="4" t="s">
        <v>34</v>
      </c>
      <c r="G7" s="17" t="s">
        <v>65</v>
      </c>
    </row>
    <row r="8" customFormat="false" ht="21.75" hidden="false" customHeight="true" outlineLevel="0" collapsed="false">
      <c r="A8" s="6" t="s">
        <v>89</v>
      </c>
      <c r="B8" s="6" t="s">
        <v>67</v>
      </c>
      <c r="C8" s="6" t="s">
        <v>68</v>
      </c>
      <c r="D8" s="6" t="s">
        <v>69</v>
      </c>
      <c r="E8" s="6" t="s">
        <v>86</v>
      </c>
      <c r="F8" s="6" t="s">
        <v>90</v>
      </c>
      <c r="G8" s="18" t="s">
        <v>73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2026-05-23T15:19:10Z</dcterms:created>
  <dc:creator>openpyxl</dc:creator>
  <dc:description/>
  <dc:language>en-US</dc:language>
  <cp:lastModifiedBy/>
  <dcterms:modified xsi:type="dcterms:W3CDTF">2026-05-23T15:19:10Z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