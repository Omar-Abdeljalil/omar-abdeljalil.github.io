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sh_Raw_Data" sheetId="1" state="visible" r:id="rId3"/>
    <sheet name="Comparison_Table" sheetId="2" state="visible" r:id="rId4"/>
    <sheet name="Parameter_She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<sst xmlns="http://schemas.openxmlformats.org/spreadsheetml/2006/main" count="154" uniqueCount="120">
  <si>
    <t xml:space="preserve">PUSH SYSTEM — Simulation Results (10 Replications)</t>
  </si>
  <si>
    <t xml:space="preserve">AnyLogic PLE Simulation | 480-min shift | CarOrders: triangular(15,20,28)/hr | Station times: triangular(3,3.5,4) min | Defect rate: 3%</t>
  </si>
  <si>
    <t xml:space="preserve">Run #</t>
  </si>
  <si>
    <t xml:space="preserve">Throughput
(cars)</t>
  </si>
  <si>
    <t xml:space="preserve">Final WIP
(cars in buffer)</t>
  </si>
  <si>
    <t xml:space="preserve">Lead Time
(seconds)</t>
  </si>
  <si>
    <t xml:space="preserve">Lead Time
(minutes)</t>
  </si>
  <si>
    <t xml:space="preserve">Util Station 1
Body Assembly (%)</t>
  </si>
  <si>
    <t xml:space="preserve">Util Station 2
Paint Shop (%)</t>
  </si>
  <si>
    <t xml:space="preserve">Util Station 3
Final Inspection (%)</t>
  </si>
  <si>
    <t xml:space="preserve">Avg Utilization
(%)</t>
  </si>
  <si>
    <t xml:space="preserve">Defects
(cars reworked)</t>
  </si>
  <si>
    <t xml:space="preserve">Notes</t>
  </si>
  <si>
    <t xml:space="preserve">Status</t>
  </si>
  <si>
    <t xml:space="preserve">✓ Done</t>
  </si>
  <si>
    <t xml:space="preserve">AVERAGE</t>
  </si>
  <si>
    <t xml:space="preserve">STD DEV</t>
  </si>
  <si>
    <t xml:space="preserve">MIN</t>
  </si>
  <si>
    <t xml:space="preserve">MAX</t>
  </si>
  <si>
    <t xml:space="preserve">KPI COMPARISON TABLE — Push vs JIT vs JIS</t>
  </si>
  <si>
    <t xml:space="preserve">JIT and JIS results to be added after completing those simulation scenarios</t>
  </si>
  <si>
    <t xml:space="preserve">KPI</t>
  </si>
  <si>
    <t xml:space="preserve">Unit</t>
  </si>
  <si>
    <t xml:space="preserve">PUSH
(Mean ± SD)</t>
  </si>
  <si>
    <t xml:space="preserve">JIT
(Mean ± SD)</t>
  </si>
  <si>
    <t xml:space="preserve">JIS
(Mean ± SD)</t>
  </si>
  <si>
    <t xml:space="preserve">Best
System</t>
  </si>
  <si>
    <t xml:space="preserve">Source</t>
  </si>
  <si>
    <t xml:space="preserve">Throughput</t>
  </si>
  <si>
    <t xml:space="preserve">cars/shift</t>
  </si>
  <si>
    <t xml:space="preserve">TBD</t>
  </si>
  <si>
    <t xml:space="preserve">Push</t>
  </si>
  <si>
    <t xml:space="preserve">Mahin et al. (2024)</t>
  </si>
  <si>
    <t xml:space="preserve">WIP Inventory</t>
  </si>
  <si>
    <t xml:space="preserve">cars</t>
  </si>
  <si>
    <t xml:space="preserve">JIS</t>
  </si>
  <si>
    <t xml:space="preserve">Pawlewski (2012)</t>
  </si>
  <si>
    <t xml:space="preserve">Lead Time</t>
  </si>
  <si>
    <t xml:space="preserve">minutes</t>
  </si>
  <si>
    <t xml:space="preserve">JIT</t>
  </si>
  <si>
    <t xml:space="preserve">Wang &amp; Chen (2016)</t>
  </si>
  <si>
    <t xml:space="preserve">Avg Utilization</t>
  </si>
  <si>
    <t xml:space="preserve">%</t>
  </si>
  <si>
    <t xml:space="preserve">—</t>
  </si>
  <si>
    <t xml:space="preserve">Line Stoppages</t>
  </si>
  <si>
    <t xml:space="preserve">per shift</t>
  </si>
  <si>
    <t xml:space="preserve">0 (Push=no sequence)</t>
  </si>
  <si>
    <t xml:space="preserve">Push/JIT</t>
  </si>
  <si>
    <t xml:space="preserve">Andjelković (2025)</t>
  </si>
  <si>
    <t xml:space="preserve">SIMULATION PARAMETER SHEET — All Sources Cited</t>
  </si>
  <si>
    <t xml:space="preserve">Parameter</t>
  </si>
  <si>
    <t xml:space="preserve">Value (AnyLogic)</t>
  </si>
  <si>
    <t xml:space="preserve">Real value from literature</t>
  </si>
  <si>
    <t xml:space="preserve">Source paper</t>
  </si>
  <si>
    <t xml:space="preserve">Page/Table</t>
  </si>
  <si>
    <t xml:space="preserve">Shift duration</t>
  </si>
  <si>
    <t xml:space="preserve">480 min (28,800 sec)</t>
  </si>
  <si>
    <t xml:space="preserve">Standard 8-hr shift</t>
  </si>
  <si>
    <t xml:space="preserve">Klug (2021); Sand et al. (2023)</t>
  </si>
  <si>
    <t xml:space="preserve">Standard</t>
  </si>
  <si>
    <t xml:space="preserve">Car arrival rate</t>
  </si>
  <si>
    <t xml:space="preserve">triangular(15, 20, 28) /hr</t>
  </si>
  <si>
    <t xml:space="preserve">Tact = 3.5 min = 17.1 cars/hr</t>
  </si>
  <si>
    <t xml:space="preserve">Table II, p.735</t>
  </si>
  <si>
    <t xml:space="preserve">Station 1 — Body Assy</t>
  </si>
  <si>
    <t xml:space="preserve">triangular(2.8, 3.0, 3.2) min</t>
  </si>
  <si>
    <t xml:space="preserve">Full vehicle interior: 2.8 min</t>
  </si>
  <si>
    <t xml:space="preserve">Table II, p.736</t>
  </si>
  <si>
    <t xml:space="preserve">Station 2 — Paint Shop</t>
  </si>
  <si>
    <t xml:space="preserve">triangular(2.9, 3.2, 3.5) min</t>
  </si>
  <si>
    <t xml:space="preserve">Wire harnesses: 2.9 min</t>
  </si>
  <si>
    <t xml:space="preserve">Station 3 — Final Insp.</t>
  </si>
  <si>
    <t xml:space="preserve">triangular(3.0, 3.5, 4.0) min</t>
  </si>
  <si>
    <t xml:space="preserve">Seats/accessories: 3.0 min</t>
  </si>
  <si>
    <t xml:space="preserve">Push buffer capacity</t>
  </si>
  <si>
    <t xml:space="preserve">Unlimited (large)</t>
  </si>
  <si>
    <t xml:space="preserve">20 containers (wasteful baseline)</t>
  </si>
  <si>
    <t xml:space="preserve">Pawlewski et al. (2012)</t>
  </si>
  <si>
    <t xml:space="preserve">Section 4</t>
  </si>
  <si>
    <t xml:space="preserve">JIT buffer (optimal)</t>
  </si>
  <si>
    <t xml:space="preserve">11 containers</t>
  </si>
  <si>
    <t xml:space="preserve">11 containers (simulation-proven)</t>
  </si>
  <si>
    <t xml:space="preserve">Section 5</t>
  </si>
  <si>
    <t xml:space="preserve">Container capacity</t>
  </si>
  <si>
    <t xml:space="preserve">12 parts/container</t>
  </si>
  <si>
    <t xml:space="preserve">12 windscreens/container</t>
  </si>
  <si>
    <t xml:space="preserve">Supplier lead time</t>
  </si>
  <si>
    <t xml:space="preserve">triangular(30, 40, 50) min</t>
  </si>
  <si>
    <t xml:space="preserve">Trucks depart every 40 min</t>
  </si>
  <si>
    <t xml:space="preserve">Pawlewski (2012); Sand (2023)</t>
  </si>
  <si>
    <t xml:space="preserve">Section 3</t>
  </si>
  <si>
    <t xml:space="preserve">JIS takt time</t>
  </si>
  <si>
    <t xml:space="preserve">60 sec (1 min)</t>
  </si>
  <si>
    <t xml:space="preserve">55–65 sec (3 variants)</t>
  </si>
  <si>
    <t xml:space="preserve">Klug (2021)</t>
  </si>
  <si>
    <t xml:space="preserve">Table 2, p.98</t>
  </si>
  <si>
    <t xml:space="preserve">JIS batch size</t>
  </si>
  <si>
    <t xml:space="preserve">15 seat sets</t>
  </si>
  <si>
    <t xml:space="preserve">15 seat sets per call-off</t>
  </si>
  <si>
    <t xml:space="preserve">Defect rate</t>
  </si>
  <si>
    <t xml:space="preserve">3% (uniform() &lt; 0.03)</t>
  </si>
  <si>
    <t xml:space="preserve">Yield ~94–96% in automotive</t>
  </si>
  <si>
    <t xml:space="preserve">Table 4, p.667</t>
  </si>
  <si>
    <t xml:space="preserve">JIS sequence error rate</t>
  </si>
  <si>
    <t xml:space="preserve">5% (uniform() &lt; 0.05)</t>
  </si>
  <si>
    <t xml:space="preserve">Significant disruption confirmed</t>
  </si>
  <si>
    <t xml:space="preserve">Andjelković et al. (2025)</t>
  </si>
  <si>
    <t xml:space="preserve">Line stoppage per error</t>
  </si>
  <si>
    <t xml:space="preserve">15 min</t>
  </si>
  <si>
    <t xml:space="preserve">1 takt delay (13.75–16.25 min)</t>
  </si>
  <si>
    <t xml:space="preserve">Gujjula &amp; Günther (2009)</t>
  </si>
  <si>
    <t xml:space="preserve">Variant mix</t>
  </si>
  <si>
    <t xml:space="preserve">60% Car A / 40% Car B</t>
  </si>
  <si>
    <t xml:space="preserve">Even distribution (3 types)</t>
  </si>
  <si>
    <t xml:space="preserve">Wang &amp; Chen (2016); Boysen (2007)</t>
  </si>
  <si>
    <t xml:space="preserve">Table II</t>
  </si>
  <si>
    <t xml:space="preserve">No. of replications</t>
  </si>
  <si>
    <t xml:space="preserve">10 runs per scenario</t>
  </si>
  <si>
    <t xml:space="preserve">100 used in Sand et al. (2023)</t>
  </si>
  <si>
    <t xml:space="preserve">Standard DES practice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</si>
</sst>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8" hidden="false" customHeight="true" outlineLevel="0" collapsed="false">
      <c r="A4" s="4" t="n">
        <v>1</v>
      </c>
      <c r="B4" s="4" t="n">
        <v>131</v>
      </c>
      <c r="C4" s="4" t="n">
        <v>47</v>
      </c>
      <c r="D4" s="4" t="n">
        <v>8267.454</v>
      </c>
      <c r="E4" s="4" t="n">
        <v>137.79</v>
      </c>
      <c r="F4" s="4" t="n">
        <v>98.883</v>
      </c>
      <c r="G4" s="4" t="n">
        <v>98.253</v>
      </c>
      <c r="H4" s="4" t="n">
        <v>97.288</v>
      </c>
      <c r="I4" s="4" t="n">
        <f aca="false">AVERAGE(F4:H4)</f>
        <v>98.1413333333333</v>
      </c>
      <c r="J4" s="4" t="n">
        <v>4</v>
      </c>
      <c r="K4" s="4"/>
      <c r="L4" s="5" t="s">
        <v>14</v>
      </c>
    </row>
    <row r="5" customFormat="false" ht="18" hidden="false" customHeight="true" outlineLevel="0" collapsed="false">
      <c r="A5" s="6" t="n">
        <v>2</v>
      </c>
      <c r="B5" s="6" t="n">
        <v>130</v>
      </c>
      <c r="C5" s="6" t="n">
        <v>22</v>
      </c>
      <c r="D5" s="6" t="n">
        <v>5622.786</v>
      </c>
      <c r="E5" s="6" t="n">
        <v>93.71</v>
      </c>
      <c r="F5" s="6" t="n">
        <v>99.82</v>
      </c>
      <c r="G5" s="6" t="n">
        <v>99.231</v>
      </c>
      <c r="H5" s="6" t="n">
        <v>98.253</v>
      </c>
      <c r="I5" s="6" t="n">
        <f aca="false">AVERAGE(F5:H5)</f>
        <v>99.1013333333333</v>
      </c>
      <c r="J5" s="6" t="n">
        <v>4</v>
      </c>
      <c r="K5" s="6"/>
      <c r="L5" s="7" t="s">
        <v>14</v>
      </c>
    </row>
    <row r="6" customFormat="false" ht="18" hidden="false" customHeight="true" outlineLevel="0" collapsed="false">
      <c r="A6" s="4" t="n">
        <v>3</v>
      </c>
      <c r="B6" s="4" t="n">
        <v>129</v>
      </c>
      <c r="C6" s="4" t="n">
        <v>59</v>
      </c>
      <c r="D6" s="4" t="n">
        <v>10010.256</v>
      </c>
      <c r="E6" s="4" t="n">
        <v>166.84</v>
      </c>
      <c r="F6" s="4" t="n">
        <v>99.241</v>
      </c>
      <c r="G6" s="4" t="n">
        <v>98.689</v>
      </c>
      <c r="H6" s="4" t="n">
        <v>97.772</v>
      </c>
      <c r="I6" s="4" t="n">
        <f aca="false">AVERAGE(F6:H6)</f>
        <v>98.5673333333333</v>
      </c>
      <c r="J6" s="4" t="n">
        <v>4</v>
      </c>
      <c r="K6" s="4"/>
      <c r="L6" s="5" t="s">
        <v>14</v>
      </c>
    </row>
    <row r="7" customFormat="false" ht="18" hidden="false" customHeight="true" outlineLevel="0" collapsed="false">
      <c r="A7" s="6" t="n">
        <v>4</v>
      </c>
      <c r="B7" s="6" t="n">
        <v>130</v>
      </c>
      <c r="C7" s="6" t="n">
        <v>41</v>
      </c>
      <c r="D7" s="6" t="n">
        <v>7123.874</v>
      </c>
      <c r="E7" s="6" t="n">
        <v>118.73</v>
      </c>
      <c r="F7" s="6" t="n">
        <v>98.561</v>
      </c>
      <c r="G7" s="6" t="n">
        <v>97.924</v>
      </c>
      <c r="H7" s="6" t="n">
        <v>96.925</v>
      </c>
      <c r="I7" s="6" t="n">
        <f aca="false">AVERAGE(F7:H7)</f>
        <v>97.8033333333333</v>
      </c>
      <c r="J7" s="6" t="n">
        <v>4</v>
      </c>
      <c r="K7" s="6"/>
      <c r="L7" s="7" t="s">
        <v>14</v>
      </c>
    </row>
    <row r="8" customFormat="false" ht="18" hidden="false" customHeight="true" outlineLevel="0" collapsed="false">
      <c r="A8" s="4" t="n">
        <v>5</v>
      </c>
      <c r="B8" s="4" t="n">
        <v>126</v>
      </c>
      <c r="C8" s="4" t="n">
        <v>53</v>
      </c>
      <c r="D8" s="4" t="n">
        <v>9213.199</v>
      </c>
      <c r="E8" s="4" t="n">
        <v>153.55</v>
      </c>
      <c r="F8" s="4" t="n">
        <v>99.513</v>
      </c>
      <c r="G8" s="4" t="n">
        <v>99</v>
      </c>
      <c r="H8" s="4" t="n">
        <v>98.046</v>
      </c>
      <c r="I8" s="4" t="n">
        <f aca="false">AVERAGE(F8:H8)</f>
        <v>98.853</v>
      </c>
      <c r="J8" s="4" t="n">
        <v>4</v>
      </c>
      <c r="K8" s="4"/>
      <c r="L8" s="5" t="s">
        <v>14</v>
      </c>
    </row>
    <row r="9" customFormat="false" ht="18" hidden="false" customHeight="true" outlineLevel="0" collapsed="false">
      <c r="A9" s="6" t="n">
        <v>6</v>
      </c>
      <c r="B9" s="6" t="n">
        <v>127</v>
      </c>
      <c r="C9" s="6" t="n">
        <v>19</v>
      </c>
      <c r="D9" s="6" t="n">
        <v>4696.051</v>
      </c>
      <c r="E9" s="6" t="n">
        <v>78.27</v>
      </c>
      <c r="F9" s="6" t="n">
        <v>98.919</v>
      </c>
      <c r="G9" s="6" t="n">
        <v>98.303</v>
      </c>
      <c r="H9" s="6" t="n">
        <v>97.518</v>
      </c>
      <c r="I9" s="6" t="n">
        <f aca="false">AVERAGE(F9:H9)</f>
        <v>98.2466666666667</v>
      </c>
      <c r="J9" s="6" t="n">
        <v>4</v>
      </c>
      <c r="K9" s="6"/>
      <c r="L9" s="7" t="s">
        <v>14</v>
      </c>
    </row>
    <row r="10" customFormat="false" ht="18" hidden="false" customHeight="true" outlineLevel="0" collapsed="false">
      <c r="A10" s="4" t="n">
        <v>7</v>
      </c>
      <c r="B10" s="4" t="n">
        <v>133</v>
      </c>
      <c r="C10" s="4" t="n">
        <v>34</v>
      </c>
      <c r="D10" s="4" t="n">
        <v>6821.035</v>
      </c>
      <c r="E10" s="4" t="n">
        <v>113.68</v>
      </c>
      <c r="F10" s="4" t="n">
        <v>99.606</v>
      </c>
      <c r="G10" s="4" t="n">
        <v>98.983</v>
      </c>
      <c r="H10" s="4" t="n">
        <v>97.977</v>
      </c>
      <c r="I10" s="4" t="n">
        <f aca="false">AVERAGE(F10:H10)</f>
        <v>98.8553333333334</v>
      </c>
      <c r="J10" s="4" t="n">
        <v>4</v>
      </c>
      <c r="K10" s="4"/>
      <c r="L10" s="5" t="s">
        <v>14</v>
      </c>
    </row>
    <row r="11" customFormat="false" ht="18" hidden="false" customHeight="true" outlineLevel="0" collapsed="false">
      <c r="A11" s="6" t="n">
        <v>8</v>
      </c>
      <c r="B11" s="6" t="n">
        <v>128</v>
      </c>
      <c r="C11" s="6" t="n">
        <v>44</v>
      </c>
      <c r="D11" s="6" t="n">
        <v>8222.211</v>
      </c>
      <c r="E11" s="6" t="n">
        <v>137.04</v>
      </c>
      <c r="F11" s="6" t="n">
        <v>97.932</v>
      </c>
      <c r="G11" s="6" t="n">
        <v>97.331</v>
      </c>
      <c r="H11" s="6" t="n">
        <v>96.373</v>
      </c>
      <c r="I11" s="6" t="n">
        <f aca="false">AVERAGE(F11:H11)</f>
        <v>97.212</v>
      </c>
      <c r="J11" s="6" t="n">
        <v>4</v>
      </c>
      <c r="K11" s="6"/>
      <c r="L11" s="7" t="s">
        <v>14</v>
      </c>
    </row>
    <row r="12" customFormat="false" ht="18" hidden="false" customHeight="true" outlineLevel="0" collapsed="false">
      <c r="A12" s="4" t="n">
        <v>9</v>
      </c>
      <c r="B12" s="4" t="n">
        <v>109</v>
      </c>
      <c r="C12" s="4" t="n">
        <v>10</v>
      </c>
      <c r="D12" s="4" t="n">
        <v>2866.265</v>
      </c>
      <c r="E12" s="4" t="n">
        <v>47.77</v>
      </c>
      <c r="F12" s="4" t="n">
        <v>81.706</v>
      </c>
      <c r="G12" s="4" t="n">
        <v>82.621</v>
      </c>
      <c r="H12" s="4" t="n">
        <v>82.76</v>
      </c>
      <c r="I12" s="4" t="n">
        <f aca="false">AVERAGE(F12:H12)</f>
        <v>82.3623333333333</v>
      </c>
      <c r="J12" s="4" t="n">
        <v>3</v>
      </c>
      <c r="K12" s="4"/>
      <c r="L12" s="5" t="s">
        <v>14</v>
      </c>
    </row>
    <row r="13" customFormat="false" ht="18" hidden="false" customHeight="true" outlineLevel="0" collapsed="false">
      <c r="A13" s="6" t="n">
        <v>10</v>
      </c>
      <c r="B13" s="6" t="n">
        <v>132</v>
      </c>
      <c r="C13" s="6" t="n">
        <v>42</v>
      </c>
      <c r="D13" s="6" t="n">
        <v>7381.052</v>
      </c>
      <c r="E13" s="6" t="n">
        <v>123.02</v>
      </c>
      <c r="F13" s="6" t="n">
        <v>99.277</v>
      </c>
      <c r="G13" s="6" t="n">
        <v>98.679</v>
      </c>
      <c r="H13" s="6" t="n">
        <v>97.819</v>
      </c>
      <c r="I13" s="6" t="n">
        <f aca="false">AVERAGE(F13:H13)</f>
        <v>98.5916666666667</v>
      </c>
      <c r="J13" s="6" t="n">
        <v>4</v>
      </c>
      <c r="K13" s="6"/>
      <c r="L13" s="7" t="s">
        <v>14</v>
      </c>
    </row>
    <row r="14" customFormat="false" ht="19.5" hidden="false" customHeight="true" outlineLevel="0" collapsed="false"/>
    <row r="15" customFormat="false" ht="19.5" hidden="false" customHeight="true" outlineLevel="0" collapsed="false">
      <c r="A15" s="8" t="s">
        <v>15</v>
      </c>
      <c r="B15" s="8" t="n">
        <f aca="false">AVERAGE(B4:B13)</f>
        <v>127.5</v>
      </c>
      <c r="C15" s="8" t="n">
        <f aca="false">AVERAGE(C4:C13)</f>
        <v>37.1</v>
      </c>
      <c r="D15" s="8" t="n">
        <f aca="false">AVERAGE(D4:D13)</f>
        <v>7022.4183</v>
      </c>
      <c r="E15" s="8" t="n">
        <f aca="false">AVERAGE(E4:E13)</f>
        <v>117.04</v>
      </c>
      <c r="F15" s="8" t="n">
        <f aca="false">AVERAGE(F4:F13)</f>
        <v>97.3458</v>
      </c>
      <c r="G15" s="8" t="n">
        <f aca="false">AVERAGE(G4:G13)</f>
        <v>96.9014</v>
      </c>
      <c r="H15" s="8" t="n">
        <f aca="false">AVERAGE(H4:H13)</f>
        <v>96.0731</v>
      </c>
      <c r="I15" s="8" t="n">
        <f aca="false">AVERAGE(I4:I13)</f>
        <v>96.7734333333333</v>
      </c>
      <c r="J15" s="9"/>
      <c r="K15" s="9"/>
      <c r="L15" s="9"/>
    </row>
    <row r="16" customFormat="false" ht="19.5" hidden="false" customHeight="true" outlineLevel="0" collapsed="false">
      <c r="A16" s="10" t="s">
        <v>16</v>
      </c>
      <c r="B16" s="11" t="n">
        <f aca="false">STDEV(B4:B13)</f>
        <v>6.85160159703149</v>
      </c>
      <c r="C16" s="11" t="n">
        <f aca="false">STDEV(C4:C13)</f>
        <v>15.694655849117</v>
      </c>
      <c r="D16" s="11" t="n">
        <f aca="false">STDEV(D4:D13)</f>
        <v>2148.39327251404</v>
      </c>
      <c r="E16" s="11" t="n">
        <f aca="false">STDEV(E4:E13)</f>
        <v>35.8069257732821</v>
      </c>
      <c r="F16" s="11" t="n">
        <f aca="false">STDEV(F4:F13)</f>
        <v>5.52277979121223</v>
      </c>
      <c r="G16" s="11" t="n">
        <f aca="false">STDEV(G4:G13)</f>
        <v>5.04943328393285</v>
      </c>
      <c r="H16" s="11" t="n">
        <f aca="false">STDEV(H4:H13)</f>
        <v>4.71194209665423</v>
      </c>
      <c r="I16" s="11" t="n">
        <f aca="false">STDEV(I4:I13)</f>
        <v>5.0944030073439</v>
      </c>
      <c r="J16" s="11"/>
      <c r="K16" s="11"/>
      <c r="L16" s="11"/>
    </row>
    <row r="17" customFormat="false" ht="19.5" hidden="false" customHeight="true" outlineLevel="0" collapsed="false">
      <c r="A17" s="12" t="s">
        <v>17</v>
      </c>
      <c r="B17" s="13" t="n">
        <f aca="false">MIN(B4:B13)</f>
        <v>109</v>
      </c>
      <c r="C17" s="13" t="n">
        <f aca="false">MIN(C4:C13)</f>
        <v>10</v>
      </c>
      <c r="D17" s="13" t="n">
        <f aca="false">MIN(D4:D13)</f>
        <v>2866.265</v>
      </c>
      <c r="E17" s="13" t="n">
        <f aca="false">MIN(E4:E13)</f>
        <v>47.77</v>
      </c>
      <c r="F17" s="13" t="n">
        <f aca="false">MIN(F4:F13)</f>
        <v>81.706</v>
      </c>
      <c r="G17" s="13" t="n">
        <f aca="false">MIN(G4:G13)</f>
        <v>82.621</v>
      </c>
      <c r="H17" s="13" t="n">
        <f aca="false">MIN(H4:H13)</f>
        <v>82.76</v>
      </c>
      <c r="I17" s="13" t="n">
        <f aca="false">MIN(I4:I13)</f>
        <v>82.3623333333333</v>
      </c>
      <c r="J17" s="13"/>
      <c r="K17" s="13"/>
      <c r="L17" s="13"/>
    </row>
    <row r="18" customFormat="false" ht="19.5" hidden="false" customHeight="true" outlineLevel="0" collapsed="false">
      <c r="A18" s="14" t="s">
        <v>18</v>
      </c>
      <c r="B18" s="15" t="n">
        <f aca="false">MAX(B4:B13)</f>
        <v>133</v>
      </c>
      <c r="C18" s="15" t="n">
        <f aca="false">MAX(C4:C13)</f>
        <v>59</v>
      </c>
      <c r="D18" s="15" t="n">
        <f aca="false">MAX(D4:D13)</f>
        <v>10010.256</v>
      </c>
      <c r="E18" s="15" t="n">
        <f aca="false">MAX(E4:E13)</f>
        <v>166.84</v>
      </c>
      <c r="F18" s="15" t="n">
        <f aca="false">MAX(F4:F13)</f>
        <v>99.82</v>
      </c>
      <c r="G18" s="15" t="n">
        <f aca="false">MAX(G4:G13)</f>
        <v>99.231</v>
      </c>
      <c r="H18" s="15" t="n">
        <f aca="false">MAX(H4:H13)</f>
        <v>98.253</v>
      </c>
      <c r="I18" s="15" t="n">
        <f aca="false">MAX(I4:I13)</f>
        <v>99.1013333333333</v>
      </c>
      <c r="J18" s="15"/>
      <c r="K18" s="15"/>
      <c r="L18" s="15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5" min="3" style="0" width="24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19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20</v>
      </c>
      <c r="B2" s="2"/>
      <c r="C2" s="2"/>
      <c r="D2" s="2"/>
      <c r="E2" s="2"/>
      <c r="F2" s="2"/>
      <c r="G2" s="2"/>
    </row>
    <row r="3" customFormat="false" ht="39.75" hidden="false" customHeight="true" outlineLevel="0" collapsed="false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</row>
    <row r="4" customFormat="false" ht="21.75" hidden="false" customHeight="true" outlineLevel="0" collapsed="false">
      <c r="A4" s="4" t="s">
        <v>28</v>
      </c>
      <c r="B4" s="4" t="s">
        <v>29</v>
      </c>
      <c r="C4" s="4" t="str">
        <f aca="false">Push_Raw_Data!B15&amp;" ± "&amp;ROUND(Push_Raw_Data!B16,1)</f>
        <v>127.5 ± 6.9</v>
      </c>
      <c r="D4" s="4" t="s">
        <v>30</v>
      </c>
      <c r="E4" s="4" t="s">
        <v>30</v>
      </c>
      <c r="F4" s="4" t="s">
        <v>31</v>
      </c>
      <c r="G4" s="16" t="s">
        <v>32</v>
      </c>
    </row>
    <row r="5" customFormat="false" ht="21.75" hidden="false" customHeight="true" outlineLevel="0" collapsed="false">
      <c r="A5" s="6" t="s">
        <v>33</v>
      </c>
      <c r="B5" s="6" t="s">
        <v>34</v>
      </c>
      <c r="C5" s="6" t="str">
        <f aca="false">Push_Raw_Data!C15&amp;" ± "&amp;ROUND(Push_Raw_Data!C16,1)</f>
        <v>37.1 ± 15.7</v>
      </c>
      <c r="D5" s="6" t="s">
        <v>30</v>
      </c>
      <c r="E5" s="6" t="s">
        <v>30</v>
      </c>
      <c r="F5" s="6" t="s">
        <v>35</v>
      </c>
      <c r="G5" s="17" t="s">
        <v>36</v>
      </c>
    </row>
    <row r="6" customFormat="false" ht="21.75" hidden="false" customHeight="true" outlineLevel="0" collapsed="false">
      <c r="A6" s="4" t="s">
        <v>37</v>
      </c>
      <c r="B6" s="4" t="s">
        <v>38</v>
      </c>
      <c r="C6" s="4" t="str">
        <f aca="false">ROUND(Push_Raw_Data!E15,1)&amp;" ± "&amp;ROUND(Push_Raw_Data!E16,1)</f>
        <v>117 ± 35.8</v>
      </c>
      <c r="D6" s="4" t="s">
        <v>30</v>
      </c>
      <c r="E6" s="4" t="s">
        <v>30</v>
      </c>
      <c r="F6" s="4" t="s">
        <v>39</v>
      </c>
      <c r="G6" s="16" t="s">
        <v>40</v>
      </c>
    </row>
    <row r="7" customFormat="false" ht="21.75" hidden="false" customHeight="true" outlineLevel="0" collapsed="false">
      <c r="A7" s="6" t="s">
        <v>41</v>
      </c>
      <c r="B7" s="6" t="s">
        <v>42</v>
      </c>
      <c r="C7" s="6" t="str">
        <f aca="false">ROUND(Push_Raw_Data!I15,2)&amp;" ± "&amp;ROUND(Push_Raw_Data!I16,2)</f>
        <v>96.77 ± 5.09</v>
      </c>
      <c r="D7" s="6" t="s">
        <v>30</v>
      </c>
      <c r="E7" s="6" t="s">
        <v>30</v>
      </c>
      <c r="F7" s="6" t="s">
        <v>43</v>
      </c>
      <c r="G7" s="17" t="s">
        <v>40</v>
      </c>
    </row>
    <row r="8" customFormat="false" ht="21.75" hidden="false" customHeight="true" outlineLevel="0" collapsed="false">
      <c r="A8" s="4" t="s">
        <v>44</v>
      </c>
      <c r="B8" s="4" t="s">
        <v>45</v>
      </c>
      <c r="C8" s="4" t="s">
        <v>46</v>
      </c>
      <c r="D8" s="4" t="s">
        <v>30</v>
      </c>
      <c r="E8" s="4" t="s">
        <v>30</v>
      </c>
      <c r="F8" s="4" t="s">
        <v>47</v>
      </c>
      <c r="G8" s="16" t="s">
        <v>48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49</v>
      </c>
      <c r="B1" s="1"/>
      <c r="C1" s="1"/>
      <c r="D1" s="1"/>
      <c r="E1" s="1"/>
    </row>
    <row r="2" customFormat="false" ht="34.5" hidden="false" customHeight="true" outlineLevel="0" collapsed="false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</row>
    <row r="3" customFormat="false" ht="19.5" hidden="false" customHeight="true" outlineLevel="0" collapsed="false">
      <c r="A3" s="16" t="s">
        <v>55</v>
      </c>
      <c r="B3" s="16" t="s">
        <v>56</v>
      </c>
      <c r="C3" s="16" t="s">
        <v>57</v>
      </c>
      <c r="D3" s="16" t="s">
        <v>58</v>
      </c>
      <c r="E3" s="16" t="s">
        <v>59</v>
      </c>
    </row>
    <row r="4" customFormat="false" ht="19.5" hidden="false" customHeight="true" outlineLevel="0" collapsed="false">
      <c r="A4" s="17" t="s">
        <v>60</v>
      </c>
      <c r="B4" s="17" t="s">
        <v>61</v>
      </c>
      <c r="C4" s="17" t="s">
        <v>62</v>
      </c>
      <c r="D4" s="17" t="s">
        <v>40</v>
      </c>
      <c r="E4" s="17" t="s">
        <v>63</v>
      </c>
    </row>
    <row r="5" customFormat="false" ht="19.5" hidden="false" customHeight="true" outlineLevel="0" collapsed="false">
      <c r="A5" s="16" t="s">
        <v>64</v>
      </c>
      <c r="B5" s="16" t="s">
        <v>65</v>
      </c>
      <c r="C5" s="16" t="s">
        <v>66</v>
      </c>
      <c r="D5" s="16" t="s">
        <v>40</v>
      </c>
      <c r="E5" s="16" t="s">
        <v>67</v>
      </c>
    </row>
    <row r="6" customFormat="false" ht="19.5" hidden="false" customHeight="true" outlineLevel="0" collapsed="false">
      <c r="A6" s="17" t="s">
        <v>68</v>
      </c>
      <c r="B6" s="17" t="s">
        <v>69</v>
      </c>
      <c r="C6" s="17" t="s">
        <v>70</v>
      </c>
      <c r="D6" s="17" t="s">
        <v>40</v>
      </c>
      <c r="E6" s="17" t="s">
        <v>67</v>
      </c>
    </row>
    <row r="7" customFormat="false" ht="19.5" hidden="false" customHeight="true" outlineLevel="0" collapsed="false">
      <c r="A7" s="16" t="s">
        <v>71</v>
      </c>
      <c r="B7" s="16" t="s">
        <v>72</v>
      </c>
      <c r="C7" s="16" t="s">
        <v>73</v>
      </c>
      <c r="D7" s="16" t="s">
        <v>40</v>
      </c>
      <c r="E7" s="16" t="s">
        <v>67</v>
      </c>
    </row>
    <row r="8" customFormat="false" ht="19.5" hidden="false" customHeight="true" outlineLevel="0" collapsed="false">
      <c r="A8" s="17" t="s">
        <v>74</v>
      </c>
      <c r="B8" s="17" t="s">
        <v>75</v>
      </c>
      <c r="C8" s="17" t="s">
        <v>76</v>
      </c>
      <c r="D8" s="17" t="s">
        <v>77</v>
      </c>
      <c r="E8" s="17" t="s">
        <v>78</v>
      </c>
    </row>
    <row r="9" customFormat="false" ht="19.5" hidden="false" customHeight="true" outlineLevel="0" collapsed="false">
      <c r="A9" s="16" t="s">
        <v>79</v>
      </c>
      <c r="B9" s="16" t="s">
        <v>80</v>
      </c>
      <c r="C9" s="16" t="s">
        <v>81</v>
      </c>
      <c r="D9" s="16" t="s">
        <v>77</v>
      </c>
      <c r="E9" s="16" t="s">
        <v>82</v>
      </c>
    </row>
    <row r="10" customFormat="false" ht="19.5" hidden="false" customHeight="true" outlineLevel="0" collapsed="false">
      <c r="A10" s="17" t="s">
        <v>83</v>
      </c>
      <c r="B10" s="17" t="s">
        <v>84</v>
      </c>
      <c r="C10" s="17" t="s">
        <v>85</v>
      </c>
      <c r="D10" s="17" t="s">
        <v>77</v>
      </c>
      <c r="E10" s="17" t="s">
        <v>78</v>
      </c>
    </row>
    <row r="11" customFormat="false" ht="19.5" hidden="false" customHeight="true" outlineLevel="0" collapsed="false">
      <c r="A11" s="16" t="s">
        <v>86</v>
      </c>
      <c r="B11" s="16" t="s">
        <v>87</v>
      </c>
      <c r="C11" s="16" t="s">
        <v>88</v>
      </c>
      <c r="D11" s="16" t="s">
        <v>89</v>
      </c>
      <c r="E11" s="16" t="s">
        <v>90</v>
      </c>
    </row>
    <row r="12" customFormat="false" ht="19.5" hidden="false" customHeight="true" outlineLevel="0" collapsed="false">
      <c r="A12" s="17" t="s">
        <v>91</v>
      </c>
      <c r="B12" s="17" t="s">
        <v>92</v>
      </c>
      <c r="C12" s="17" t="s">
        <v>93</v>
      </c>
      <c r="D12" s="17" t="s">
        <v>94</v>
      </c>
      <c r="E12" s="17" t="s">
        <v>95</v>
      </c>
    </row>
    <row r="13" customFormat="false" ht="19.5" hidden="false" customHeight="true" outlineLevel="0" collapsed="false">
      <c r="A13" s="16" t="s">
        <v>96</v>
      </c>
      <c r="B13" s="16" t="s">
        <v>97</v>
      </c>
      <c r="C13" s="16" t="s">
        <v>98</v>
      </c>
      <c r="D13" s="16" t="s">
        <v>94</v>
      </c>
      <c r="E13" s="16" t="s">
        <v>95</v>
      </c>
    </row>
    <row r="14" customFormat="false" ht="19.5" hidden="false" customHeight="true" outlineLevel="0" collapsed="false">
      <c r="A14" s="17" t="s">
        <v>99</v>
      </c>
      <c r="B14" s="17" t="s">
        <v>100</v>
      </c>
      <c r="C14" s="17" t="s">
        <v>101</v>
      </c>
      <c r="D14" s="17" t="s">
        <v>32</v>
      </c>
      <c r="E14" s="17" t="s">
        <v>102</v>
      </c>
    </row>
    <row r="15" customFormat="false" ht="19.5" hidden="false" customHeight="true" outlineLevel="0" collapsed="false">
      <c r="A15" s="16" t="s">
        <v>103</v>
      </c>
      <c r="B15" s="16" t="s">
        <v>104</v>
      </c>
      <c r="C15" s="16" t="s">
        <v>105</v>
      </c>
      <c r="D15" s="16" t="s">
        <v>106</v>
      </c>
      <c r="E15" s="16" t="s">
        <v>78</v>
      </c>
    </row>
    <row r="16" customFormat="false" ht="19.5" hidden="false" customHeight="true" outlineLevel="0" collapsed="false">
      <c r="A16" s="17" t="s">
        <v>107</v>
      </c>
      <c r="B16" s="17" t="s">
        <v>108</v>
      </c>
      <c r="C16" s="17" t="s">
        <v>109</v>
      </c>
      <c r="D16" s="17" t="s">
        <v>110</v>
      </c>
      <c r="E16" s="17" t="s">
        <v>90</v>
      </c>
    </row>
    <row r="17" customFormat="false" ht="19.5" hidden="false" customHeight="true" outlineLevel="0" collapsed="false">
      <c r="A17" s="16" t="s">
        <v>111</v>
      </c>
      <c r="B17" s="16" t="s">
        <v>112</v>
      </c>
      <c r="C17" s="16" t="s">
        <v>113</v>
      </c>
      <c r="D17" s="16" t="s">
        <v>114</v>
      </c>
      <c r="E17" s="16" t="s">
        <v>115</v>
      </c>
    </row>
    <row r="18" customFormat="false" ht="19.5" hidden="false" customHeight="true" outlineLevel="0" collapsed="false">
      <c r="A18" s="17" t="s">
        <v>116</v>
      </c>
      <c r="B18" s="17" t="s">
        <v>117</v>
      </c>
      <c r="C18" s="17" t="s">
        <v>118</v>
      </c>
      <c r="D18" s="17" t="s">
        <v>119</v>
      </c>
      <c r="E18" s="17" t="s">
        <v>43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2026-05-22T18:55:02Z</dcterms:created>
  <dc:creator>openpyxl</dc:creator>
  <dc:description/>
  <dc:language>en-US</dc:language>
  <cp:lastModifiedBy/>
  <dcterms:modified xsi:type="dcterms:W3CDTF">2026-05-22T18:55:03Z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