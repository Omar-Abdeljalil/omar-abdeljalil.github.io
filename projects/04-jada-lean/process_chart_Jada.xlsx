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yJa\OneDrive\Desktop\3rd Y 2nd Sem\Lean\For_Assignment\"/>
    </mc:Choice>
  </mc:AlternateContent>
  <xr:revisionPtr revIDLastSave="0" documentId="13_ncr:1_{41111B8B-09F5-4B26-B9CC-FCA109DCC3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 Chart" sheetId="2" r:id="rId1"/>
    <sheet name="Sheet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2" i="2" l="1"/>
  <c r="L51" i="2"/>
  <c r="H53" i="2"/>
  <c r="H52" i="2"/>
  <c r="H51" i="2"/>
  <c r="D52" i="2"/>
  <c r="L53" i="2" s="1"/>
  <c r="D51" i="2"/>
  <c r="B27" i="2"/>
  <c r="B21" i="2"/>
  <c r="B22" i="2" s="1"/>
  <c r="B23" i="2" s="1"/>
  <c r="F48" i="2"/>
  <c r="J49" i="2"/>
  <c r="I49" i="2"/>
  <c r="H49" i="2"/>
  <c r="G49" i="2"/>
  <c r="F49" i="2"/>
  <c r="G48" i="2"/>
  <c r="H48" i="2"/>
  <c r="I48" i="2"/>
  <c r="J48" i="2"/>
  <c r="B28" i="2" l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</calcChain>
</file>

<file path=xl/sharedStrings.xml><?xml version="1.0" encoding="utf-8"?>
<sst xmlns="http://schemas.openxmlformats.org/spreadsheetml/2006/main" count="178" uniqueCount="105">
  <si>
    <t>Process Chart</t>
  </si>
  <si>
    <t>Project:</t>
  </si>
  <si>
    <t>Process:</t>
  </si>
  <si>
    <t>State:</t>
  </si>
  <si>
    <t xml:space="preserve"> Chart type:</t>
  </si>
  <si>
    <t>Operation</t>
  </si>
  <si>
    <t>Transport</t>
  </si>
  <si>
    <t>Inspection</t>
  </si>
  <si>
    <t>Delay</t>
  </si>
  <si>
    <t>Storage</t>
  </si>
  <si>
    <t>VA.ENVA.NVA</t>
  </si>
  <si>
    <t>Step #</t>
  </si>
  <si>
    <t>Activity description</t>
  </si>
  <si>
    <r>
      <t xml:space="preserve">Time
</t>
    </r>
    <r>
      <rPr>
        <sz val="8"/>
        <color theme="0" tint="-0.499984740745262"/>
        <rFont val="Calibri"/>
        <family val="2"/>
        <scheme val="minor"/>
      </rPr>
      <t>(minutes)</t>
    </r>
  </si>
  <si>
    <r>
      <t xml:space="preserve">Distance
</t>
    </r>
    <r>
      <rPr>
        <sz val="8"/>
        <color theme="0" tint="-0.499984740745262"/>
        <rFont val="Calibri"/>
        <family val="2"/>
        <scheme val="minor"/>
      </rPr>
      <t>(meters)</t>
    </r>
  </si>
  <si>
    <t>¡</t>
  </si>
  <si>
    <t>ð</t>
  </si>
  <si>
    <t>¨</t>
  </si>
  <si>
    <t>D</t>
  </si>
  <si>
    <t>s</t>
  </si>
  <si>
    <t>Value Category</t>
  </si>
  <si>
    <t>Inputs, outputs, rejection points, remarks, …</t>
  </si>
  <si>
    <t>Man</t>
  </si>
  <si>
    <t>Material</t>
  </si>
  <si>
    <t>Equipment</t>
  </si>
  <si>
    <t>Current</t>
  </si>
  <si>
    <t>Future</t>
  </si>
  <si>
    <t>VA</t>
  </si>
  <si>
    <t>ENVA</t>
  </si>
  <si>
    <t>NVA</t>
  </si>
  <si>
    <t>Count:</t>
  </si>
  <si>
    <t>Time per process step:</t>
  </si>
  <si>
    <t>Total VA</t>
  </si>
  <si>
    <t>Total NVA</t>
  </si>
  <si>
    <t>Total ENVA</t>
  </si>
  <si>
    <t>VA Time</t>
  </si>
  <si>
    <t>Minutes</t>
  </si>
  <si>
    <t>NVA Time</t>
  </si>
  <si>
    <t>ENVA Time</t>
  </si>
  <si>
    <t>Distance traveled</t>
  </si>
  <si>
    <t>Meters</t>
  </si>
  <si>
    <t>Lead Time</t>
  </si>
  <si>
    <t>VS Ratio</t>
  </si>
  <si>
    <t>Wait in storage until needed for production</t>
  </si>
  <si>
    <t>-</t>
  </si>
  <si>
    <t>Unload sheet metal and hardware at receiving dock</t>
  </si>
  <si>
    <t>Move sheet metal to incoming inspection area</t>
  </si>
  <si>
    <t>Check raw material quality (thickness, rust, damage)</t>
  </si>
  <si>
    <t>Return rejected sheets to supplier</t>
  </si>
  <si>
    <t>Move approved sheet metal to raw material storage</t>
  </si>
  <si>
    <t>Transport sheet metal to Laser Cutting station</t>
  </si>
  <si>
    <t>Load sheet metal onto the laser bed</t>
  </si>
  <si>
    <t>Unload cut pieces and remove scrap/offcuts</t>
  </si>
  <si>
    <t>Move cut pieces to Bending staging area</t>
  </si>
  <si>
    <t>Wait in queue for Bending machine</t>
  </si>
  <si>
    <t>Inspect bend angles and dimensions</t>
  </si>
  <si>
    <t>Transport bent frames to Assembly area</t>
  </si>
  <si>
    <t>Wait in queue for Assembly</t>
  </si>
  <si>
    <t>Move assembled frames to Compressing station</t>
  </si>
  <si>
    <t>Move compressed doors to Finishing station</t>
  </si>
  <si>
    <t>Wait in queue for Finishing</t>
  </si>
  <si>
    <t>Grind, sand, and clean welds/edges</t>
  </si>
  <si>
    <t>Inspect surface smoothness and clean off dust</t>
  </si>
  <si>
    <t>Transport doors to Paint area</t>
  </si>
  <si>
    <t>Wait in queue for Paint booth</t>
  </si>
  <si>
    <t>Apply powder coat / paint to doors</t>
  </si>
  <si>
    <t>Move painted doors to Oven staging area</t>
  </si>
  <si>
    <t>Wait for Oven batching</t>
  </si>
  <si>
    <t>Cure paint in the Oven</t>
  </si>
  <si>
    <t>Cool down doors after exiting oven</t>
  </si>
  <si>
    <t>Inspect paint finish (color match, no drips)</t>
  </si>
  <si>
    <t>Transport cured doors to Accessory Assembly</t>
  </si>
  <si>
    <t>Wait in queue for Accessory Assembly</t>
  </si>
  <si>
    <t>Install locks, handles, hinges, and weatherstripping</t>
  </si>
  <si>
    <t>Final quality and functional check (locks work, aligns)</t>
  </si>
  <si>
    <t>Move finished doors to packaging area</t>
  </si>
  <si>
    <t>Wrap and package doors with edge protectors</t>
  </si>
  <si>
    <t>Transport packaged doors to finished goods storage</t>
  </si>
  <si>
    <t>Load onto trucks and dispatch to customer</t>
  </si>
  <si>
    <t>(Waste/Rework)</t>
  </si>
  <si>
    <t>Setup time</t>
  </si>
  <si>
    <t>Cuts to spec</t>
  </si>
  <si>
    <t>Assembly bottleneck</t>
  </si>
  <si>
    <t>Structural integrity</t>
  </si>
  <si>
    <t>Prepares for paint</t>
  </si>
  <si>
    <t>Essential delay</t>
  </si>
  <si>
    <t>Protects product</t>
  </si>
  <si>
    <t xml:space="preserve">Laser cut door panels and hardware cutouts </t>
  </si>
  <si>
    <t>Bend the edges of the door to form thickness &amp; interlocking joints</t>
  </si>
  <si>
    <t>Assemble the front and back door skins together</t>
  </si>
  <si>
    <t>6 m</t>
  </si>
  <si>
    <t>15 m</t>
  </si>
  <si>
    <t>0.5 m</t>
  </si>
  <si>
    <t>5 m</t>
  </si>
  <si>
    <t>3 m</t>
  </si>
  <si>
    <t>1 m</t>
  </si>
  <si>
    <t>2 m</t>
  </si>
  <si>
    <t xml:space="preserve">1.5 m </t>
  </si>
  <si>
    <t>4 m</t>
  </si>
  <si>
    <t xml:space="preserve">0.5 m </t>
  </si>
  <si>
    <t>Jada Doors</t>
  </si>
  <si>
    <t xml:space="preserve">Door Manufacturing </t>
  </si>
  <si>
    <t>Shapes the door leaf</t>
  </si>
  <si>
    <t>compress door structure</t>
  </si>
  <si>
    <t>Foam and honeycomb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</si>
</sst>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0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9"/>
      <color rgb="FF008000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00CC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8"/>
      <name val="Wingdings"/>
      <charset val="2"/>
    </font>
    <font>
      <sz val="18"/>
      <name val="Wingdings 3"/>
      <family val="1"/>
      <charset val="2"/>
    </font>
    <font>
      <sz val="22"/>
      <name val="Wingdings"/>
      <charset val="2"/>
    </font>
    <font>
      <b/>
      <sz val="11"/>
      <name val="Calibri"/>
      <family val="2"/>
      <scheme val="minor"/>
    </font>
    <font>
      <sz val="20"/>
      <color indexed="48"/>
      <name val="Calibri"/>
      <family val="2"/>
      <scheme val="minor"/>
    </font>
    <font>
      <sz val="10"/>
      <color rgb="FF0000CC"/>
      <name val="Calibri"/>
      <family val="2"/>
      <scheme val="minor"/>
    </font>
    <font>
      <sz val="9"/>
      <color indexed="55"/>
      <name val="Calibri"/>
      <family val="2"/>
      <scheme val="minor"/>
    </font>
    <font>
      <sz val="8"/>
      <color indexed="55"/>
      <name val="Calibri"/>
      <family val="2"/>
      <scheme val="minor"/>
    </font>
    <font>
      <sz val="18"/>
      <name val="Calibri"/>
      <family val="2"/>
      <scheme val="minor"/>
    </font>
    <font>
      <sz val="8"/>
      <color theme="0" tint="-0.14999847407452621"/>
      <name val="Calibri"/>
      <family val="2"/>
      <scheme val="minor"/>
    </font>
    <font>
      <sz val="8"/>
      <name val="Calibri"/>
      <family val="2"/>
      <scheme val="minor"/>
    </font>
    <font>
      <sz val="20"/>
      <name val="Calibri"/>
      <family val="2"/>
      <scheme val="minor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EF8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ck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ck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2" borderId="0" xfId="0" applyFont="1" applyFill="1"/>
    <xf numFmtId="0" fontId="10" fillId="2" borderId="0" xfId="0" applyFont="1" applyFill="1"/>
    <xf numFmtId="0" fontId="18" fillId="2" borderId="0" xfId="0" applyFont="1" applyFill="1"/>
    <xf numFmtId="0" fontId="5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0" fontId="3" fillId="9" borderId="0" xfId="0" applyFont="1" applyFill="1"/>
    <xf numFmtId="0" fontId="3" fillId="9" borderId="0" xfId="0" applyFont="1" applyFill="1" applyAlignment="1">
      <alignment horizontal="right" vertical="center"/>
    </xf>
    <xf numFmtId="0" fontId="1" fillId="5" borderId="15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1" fillId="2" borderId="0" xfId="0" applyFont="1" applyFill="1" applyAlignment="1">
      <alignment horizontal="center"/>
    </xf>
    <xf numFmtId="0" fontId="17" fillId="7" borderId="8" xfId="0" applyFont="1" applyFill="1" applyBorder="1" applyAlignment="1">
      <alignment horizontal="center" vertical="center" wrapText="1"/>
    </xf>
    <xf numFmtId="0" fontId="17" fillId="7" borderId="8" xfId="0" applyFont="1" applyFill="1" applyBorder="1" applyAlignment="1">
      <alignment horizontal="left" vertical="center" wrapText="1"/>
    </xf>
    <xf numFmtId="0" fontId="17" fillId="9" borderId="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22" fillId="9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13" fillId="7" borderId="9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/>
    </xf>
    <xf numFmtId="0" fontId="23" fillId="2" borderId="0" xfId="0" applyFont="1" applyFill="1"/>
    <xf numFmtId="0" fontId="13" fillId="7" borderId="2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/>
    </xf>
    <xf numFmtId="0" fontId="24" fillId="2" borderId="0" xfId="0" applyFont="1" applyFill="1"/>
    <xf numFmtId="0" fontId="11" fillId="9" borderId="14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/>
    </xf>
    <xf numFmtId="0" fontId="5" fillId="2" borderId="0" xfId="0" applyFont="1" applyFill="1"/>
    <xf numFmtId="0" fontId="11" fillId="8" borderId="6" xfId="0" applyFont="1" applyFill="1" applyBorder="1" applyAlignment="1">
      <alignment horizontal="right" vertical="center"/>
    </xf>
    <xf numFmtId="0" fontId="11" fillId="7" borderId="4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6" fillId="8" borderId="2" xfId="0" applyFont="1" applyFill="1" applyBorder="1" applyAlignment="1">
      <alignment horizontal="right" vertical="center"/>
    </xf>
    <xf numFmtId="0" fontId="7" fillId="8" borderId="2" xfId="0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5" fillId="8" borderId="2" xfId="0" applyFont="1" applyFill="1" applyBorder="1" applyAlignment="1">
      <alignment horizontal="right" vertical="center"/>
    </xf>
    <xf numFmtId="1" fontId="5" fillId="7" borderId="2" xfId="0" applyNumberFormat="1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2" fillId="2" borderId="0" xfId="0" applyFont="1" applyFill="1"/>
    <xf numFmtId="0" fontId="9" fillId="3" borderId="9" xfId="0" applyFont="1" applyFill="1" applyBorder="1" applyAlignment="1" applyProtection="1">
      <alignment horizontal="center" vertical="center"/>
      <protection locked="0"/>
    </xf>
    <xf numFmtId="0" fontId="9" fillId="3" borderId="10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vertical="center"/>
      <protection locked="0"/>
    </xf>
    <xf numFmtId="0" fontId="13" fillId="7" borderId="4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/>
    </xf>
    <xf numFmtId="0" fontId="26" fillId="0" borderId="17" xfId="0" applyFont="1" applyBorder="1" applyAlignment="1">
      <alignment wrapText="1"/>
    </xf>
    <xf numFmtId="0" fontId="27" fillId="0" borderId="17" xfId="0" applyFont="1" applyBorder="1" applyAlignment="1">
      <alignment wrapText="1"/>
    </xf>
    <xf numFmtId="0" fontId="28" fillId="0" borderId="17" xfId="0" applyFont="1" applyBorder="1" applyAlignment="1">
      <alignment wrapText="1"/>
    </xf>
    <xf numFmtId="0" fontId="11" fillId="3" borderId="5" xfId="0" applyFont="1" applyFill="1" applyBorder="1" applyAlignment="1" applyProtection="1">
      <alignment horizontal="left" vertical="center"/>
      <protection locked="0"/>
    </xf>
    <xf numFmtId="0" fontId="11" fillId="3" borderId="13" xfId="0" applyFont="1" applyFill="1" applyBorder="1" applyAlignment="1" applyProtection="1">
      <alignment horizontal="left" vertical="center"/>
      <protection locked="0"/>
    </xf>
    <xf numFmtId="0" fontId="11" fillId="3" borderId="6" xfId="0" applyFont="1" applyFill="1" applyBorder="1" applyAlignment="1" applyProtection="1">
      <alignment horizontal="left" vertical="center"/>
      <protection locked="0"/>
    </xf>
    <xf numFmtId="0" fontId="11" fillId="8" borderId="2" xfId="0" applyFont="1" applyFill="1" applyBorder="1" applyAlignment="1">
      <alignment horizontal="right" vertical="center"/>
    </xf>
    <xf numFmtId="0" fontId="11" fillId="8" borderId="5" xfId="0" applyFont="1" applyFill="1" applyBorder="1" applyAlignment="1">
      <alignment horizontal="right" vertical="center"/>
    </xf>
    <xf numFmtId="0" fontId="29" fillId="0" borderId="18" xfId="0" applyFont="1" applyBorder="1" applyAlignment="1">
      <alignment horizontal="center"/>
    </xf>
    <xf numFmtId="0" fontId="9" fillId="10" borderId="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">
    <dxf>
      <font>
        <color rgb="FF008000"/>
      </font>
    </dxf>
    <dxf>
      <font>
        <color rgb="FFFF0000"/>
      </font>
    </dxf>
    <dxf>
      <font>
        <color rgb="FF0000CC"/>
      </font>
    </dxf>
  </dxfs>
  <tableStyles count="0" defaultTableStyle="TableStyleMedium2" defaultPivotStyle="PivotStyleLight16"/>
  <colors>
    <mruColors>
      <color rgb="FFF8F8F8"/>
      <color rgb="FFCCFFFF"/>
      <color rgb="FFFFFFCC"/>
      <color rgb="FFFFFF99"/>
      <color rgb="FFCCFF99"/>
      <color rgb="FFFFEF8B"/>
      <color rgb="FF0000CC"/>
      <color rgb="FF008000"/>
      <color rgb="FFFFC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62"/>
  <sheetViews>
    <sheetView showGridLines="0" tabSelected="1" topLeftCell="A7" zoomScale="55" zoomScaleNormal="55" workbookViewId="0">
      <selection activeCell="R7" sqref="R7"/>
    </sheetView>
  </sheetViews>
  <sheetFormatPr defaultColWidth="8.77734375" defaultRowHeight="13.8" x14ac:dyDescent="0.3"/>
  <cols>
    <col min="1" max="1" width="2.77734375" style="1" customWidth="1"/>
    <col min="2" max="2" width="6.77734375" style="1" customWidth="1"/>
    <col min="3" max="3" width="79.21875" style="1" customWidth="1"/>
    <col min="4" max="5" width="14.77734375" style="1" customWidth="1"/>
    <col min="6" max="6" width="0.77734375" style="1" customWidth="1"/>
    <col min="7" max="11" width="9.77734375" style="1" customWidth="1"/>
    <col min="12" max="12" width="9.6640625" style="1" customWidth="1"/>
    <col min="13" max="13" width="14.77734375" style="1" customWidth="1"/>
    <col min="14" max="14" width="36" style="1" bestFit="1" customWidth="1"/>
    <col min="15" max="15" width="2.77734375" style="1" hidden="1" customWidth="1"/>
    <col min="16" max="16" width="2.77734375" style="1" customWidth="1"/>
    <col min="17" max="16384" width="8.77734375" style="1"/>
  </cols>
  <sheetData>
    <row r="1" spans="2:15" ht="31.2" x14ac:dyDescent="0.6">
      <c r="B1" s="2" t="s">
        <v>0</v>
      </c>
      <c r="C1" s="3"/>
    </row>
    <row r="2" spans="2:15" x14ac:dyDescent="0.3">
      <c r="B2" s="4"/>
      <c r="H2" s="5"/>
      <c r="K2" s="4"/>
      <c r="L2" s="4"/>
      <c r="M2" s="4"/>
    </row>
    <row r="3" spans="2:15" ht="14.4" x14ac:dyDescent="0.3">
      <c r="B3" s="6" t="s">
        <v>1</v>
      </c>
      <c r="C3" s="57" t="s">
        <v>100</v>
      </c>
      <c r="D3" s="6" t="s">
        <v>2</v>
      </c>
      <c r="E3" s="64" t="s">
        <v>101</v>
      </c>
      <c r="F3" s="65"/>
      <c r="G3" s="66"/>
      <c r="H3" s="5"/>
      <c r="I3" s="6" t="s">
        <v>3</v>
      </c>
      <c r="J3" s="57" t="s">
        <v>25</v>
      </c>
      <c r="K3" s="4"/>
      <c r="L3" s="4"/>
      <c r="M3" s="6" t="s">
        <v>4</v>
      </c>
      <c r="N3" s="57"/>
      <c r="O3" s="7"/>
    </row>
    <row r="4" spans="2:15" x14ac:dyDescent="0.3">
      <c r="G4" s="5"/>
      <c r="H4" s="5"/>
      <c r="I4" s="5"/>
      <c r="J4" s="5"/>
    </row>
    <row r="5" spans="2:15" x14ac:dyDescent="0.3">
      <c r="F5" s="8"/>
      <c r="G5" s="9"/>
      <c r="H5" s="9"/>
      <c r="I5" s="9"/>
      <c r="J5" s="9"/>
      <c r="K5" s="8"/>
      <c r="L5" s="8"/>
    </row>
    <row r="6" spans="2:15" ht="14.4" x14ac:dyDescent="0.3">
      <c r="C6" s="5"/>
      <c r="D6" s="7"/>
      <c r="E6" s="5"/>
      <c r="F6" s="9"/>
      <c r="G6" s="10" t="s">
        <v>5</v>
      </c>
      <c r="H6" s="11" t="s">
        <v>6</v>
      </c>
      <c r="I6" s="12" t="s">
        <v>7</v>
      </c>
      <c r="J6" s="13" t="s">
        <v>8</v>
      </c>
      <c r="K6" s="14" t="s">
        <v>9</v>
      </c>
      <c r="L6" s="15"/>
      <c r="M6" s="16" t="s">
        <v>10</v>
      </c>
      <c r="N6" s="17"/>
    </row>
    <row r="7" spans="2:15" ht="28.2" thickBot="1" x14ac:dyDescent="0.35">
      <c r="B7" s="18" t="s">
        <v>11</v>
      </c>
      <c r="C7" s="19" t="s">
        <v>12</v>
      </c>
      <c r="D7" s="18" t="s">
        <v>13</v>
      </c>
      <c r="E7" s="18" t="s">
        <v>14</v>
      </c>
      <c r="F7" s="20"/>
      <c r="G7" s="21" t="s">
        <v>15</v>
      </c>
      <c r="H7" s="22" t="s">
        <v>16</v>
      </c>
      <c r="I7" s="23" t="s">
        <v>17</v>
      </c>
      <c r="J7" s="24" t="s">
        <v>18</v>
      </c>
      <c r="K7" s="25" t="s">
        <v>19</v>
      </c>
      <c r="L7" s="26"/>
      <c r="M7" s="18" t="s">
        <v>20</v>
      </c>
      <c r="N7" s="27" t="s">
        <v>21</v>
      </c>
    </row>
    <row r="8" spans="2:15" ht="18.600000000000001" thickTop="1" thickBot="1" x14ac:dyDescent="0.4">
      <c r="B8" s="28">
        <v>1</v>
      </c>
      <c r="C8" s="69" t="s">
        <v>45</v>
      </c>
      <c r="D8" s="69">
        <v>10</v>
      </c>
      <c r="E8" s="69" t="s">
        <v>44</v>
      </c>
      <c r="F8" s="29"/>
      <c r="G8" s="55"/>
      <c r="H8" s="70"/>
      <c r="I8" s="55"/>
      <c r="J8" s="55"/>
      <c r="K8" s="56"/>
      <c r="L8" s="30"/>
      <c r="M8" s="62" t="s">
        <v>29</v>
      </c>
      <c r="N8" s="69"/>
      <c r="O8" s="31" t="s">
        <v>22</v>
      </c>
    </row>
    <row r="9" spans="2:15" ht="18.600000000000001" thickTop="1" thickBot="1" x14ac:dyDescent="0.4">
      <c r="B9" s="58">
        <v>2</v>
      </c>
      <c r="C9" s="69" t="s">
        <v>46</v>
      </c>
      <c r="D9" s="69">
        <v>2</v>
      </c>
      <c r="E9" s="69" t="s">
        <v>96</v>
      </c>
      <c r="F9" s="59"/>
      <c r="G9" s="55"/>
      <c r="H9" s="70"/>
      <c r="I9" s="55"/>
      <c r="J9" s="55"/>
      <c r="K9" s="56"/>
      <c r="L9" s="60"/>
      <c r="M9" s="62" t="s">
        <v>29</v>
      </c>
      <c r="N9" s="69"/>
      <c r="O9" s="31"/>
    </row>
    <row r="10" spans="2:15" ht="18.600000000000001" thickTop="1" thickBot="1" x14ac:dyDescent="0.4">
      <c r="B10" s="58">
        <v>3</v>
      </c>
      <c r="C10" s="69" t="s">
        <v>47</v>
      </c>
      <c r="D10" s="69">
        <v>5</v>
      </c>
      <c r="E10" s="69"/>
      <c r="F10" s="59"/>
      <c r="G10" s="55"/>
      <c r="H10" s="55"/>
      <c r="I10" s="70"/>
      <c r="J10" s="55"/>
      <c r="K10" s="56"/>
      <c r="L10" s="60"/>
      <c r="M10" s="61" t="s">
        <v>28</v>
      </c>
      <c r="N10" s="69"/>
      <c r="O10" s="31"/>
    </row>
    <row r="11" spans="2:15" ht="18.600000000000001" thickTop="1" thickBot="1" x14ac:dyDescent="0.4">
      <c r="B11" s="58">
        <v>4</v>
      </c>
      <c r="C11" s="69" t="s">
        <v>48</v>
      </c>
      <c r="D11" s="69" t="s">
        <v>44</v>
      </c>
      <c r="E11" s="69" t="s">
        <v>44</v>
      </c>
      <c r="F11" s="59"/>
      <c r="G11" s="55"/>
      <c r="H11" s="70"/>
      <c r="I11" s="55"/>
      <c r="J11" s="55"/>
      <c r="K11" s="56"/>
      <c r="L11" s="60"/>
      <c r="M11" s="62" t="s">
        <v>29</v>
      </c>
      <c r="N11" s="69" t="s">
        <v>79</v>
      </c>
      <c r="O11" s="31"/>
    </row>
    <row r="12" spans="2:15" ht="18.600000000000001" thickTop="1" thickBot="1" x14ac:dyDescent="0.4">
      <c r="B12" s="32">
        <v>5</v>
      </c>
      <c r="C12" s="69" t="s">
        <v>49</v>
      </c>
      <c r="D12" s="69">
        <v>3</v>
      </c>
      <c r="E12" s="69" t="s">
        <v>95</v>
      </c>
      <c r="F12" s="33"/>
      <c r="G12" s="55"/>
      <c r="H12" s="70"/>
      <c r="I12" s="55"/>
      <c r="J12" s="55"/>
      <c r="K12" s="56"/>
      <c r="L12" s="34"/>
      <c r="M12" s="62" t="s">
        <v>29</v>
      </c>
      <c r="N12" s="69"/>
      <c r="O12" s="31" t="s">
        <v>23</v>
      </c>
    </row>
    <row r="13" spans="2:15" ht="18.600000000000001" thickTop="1" thickBot="1" x14ac:dyDescent="0.4">
      <c r="B13" s="32">
        <v>6</v>
      </c>
      <c r="C13" s="69" t="s">
        <v>43</v>
      </c>
      <c r="D13" s="69">
        <v>304</v>
      </c>
      <c r="E13" s="69" t="s">
        <v>44</v>
      </c>
      <c r="F13" s="33"/>
      <c r="G13" s="55"/>
      <c r="H13" s="55"/>
      <c r="I13" s="55"/>
      <c r="J13" s="55"/>
      <c r="K13" s="70"/>
      <c r="L13" s="34"/>
      <c r="M13" s="62" t="s">
        <v>29</v>
      </c>
      <c r="N13" s="69"/>
      <c r="O13" s="31"/>
    </row>
    <row r="14" spans="2:15" ht="18.600000000000001" thickTop="1" thickBot="1" x14ac:dyDescent="0.4">
      <c r="B14" s="32">
        <v>7</v>
      </c>
      <c r="C14" s="69" t="s">
        <v>50</v>
      </c>
      <c r="D14" s="69">
        <v>2</v>
      </c>
      <c r="E14" s="69" t="s">
        <v>94</v>
      </c>
      <c r="F14" s="33"/>
      <c r="G14" s="55"/>
      <c r="H14" s="70"/>
      <c r="I14" s="55"/>
      <c r="J14" s="55"/>
      <c r="K14" s="55"/>
      <c r="L14" s="34"/>
      <c r="M14" s="62" t="s">
        <v>29</v>
      </c>
      <c r="N14" s="69"/>
      <c r="O14" s="31"/>
    </row>
    <row r="15" spans="2:15" ht="18.600000000000001" thickTop="1" thickBot="1" x14ac:dyDescent="0.4">
      <c r="B15" s="32">
        <v>8</v>
      </c>
      <c r="C15" s="69" t="s">
        <v>51</v>
      </c>
      <c r="D15" s="69">
        <v>1</v>
      </c>
      <c r="E15" s="69" t="s">
        <v>44</v>
      </c>
      <c r="F15" s="33"/>
      <c r="G15" s="70"/>
      <c r="H15" s="55"/>
      <c r="I15" s="55"/>
      <c r="J15" s="55"/>
      <c r="K15" s="56"/>
      <c r="L15" s="34"/>
      <c r="M15" s="62" t="s">
        <v>29</v>
      </c>
      <c r="N15" s="69" t="s">
        <v>80</v>
      </c>
      <c r="O15" s="31"/>
    </row>
    <row r="16" spans="2:15" ht="18.600000000000001" thickTop="1" thickBot="1" x14ac:dyDescent="0.4">
      <c r="B16" s="32">
        <v>9</v>
      </c>
      <c r="C16" s="69" t="s">
        <v>87</v>
      </c>
      <c r="D16" s="69">
        <v>6</v>
      </c>
      <c r="E16" s="69" t="s">
        <v>44</v>
      </c>
      <c r="F16" s="33"/>
      <c r="G16" s="70"/>
      <c r="H16" s="55"/>
      <c r="I16" s="55"/>
      <c r="J16" s="55"/>
      <c r="K16" s="56"/>
      <c r="L16" s="34"/>
      <c r="M16" s="63" t="s">
        <v>27</v>
      </c>
      <c r="N16" s="69" t="s">
        <v>81</v>
      </c>
      <c r="O16" s="31" t="s">
        <v>24</v>
      </c>
    </row>
    <row r="17" spans="2:15" ht="18.600000000000001" thickTop="1" thickBot="1" x14ac:dyDescent="0.4">
      <c r="B17" s="32">
        <v>10</v>
      </c>
      <c r="C17" s="69" t="s">
        <v>52</v>
      </c>
      <c r="D17" s="69">
        <v>2</v>
      </c>
      <c r="E17" s="69" t="s">
        <v>44</v>
      </c>
      <c r="F17" s="33"/>
      <c r="G17" s="70"/>
      <c r="H17" s="55"/>
      <c r="I17" s="55"/>
      <c r="J17" s="55"/>
      <c r="K17" s="56"/>
      <c r="L17" s="34"/>
      <c r="M17" s="62" t="s">
        <v>29</v>
      </c>
      <c r="N17" s="69"/>
      <c r="O17" s="31"/>
    </row>
    <row r="18" spans="2:15" ht="18.600000000000001" thickTop="1" thickBot="1" x14ac:dyDescent="0.4">
      <c r="B18" s="32">
        <v>11</v>
      </c>
      <c r="C18" s="69" t="s">
        <v>53</v>
      </c>
      <c r="D18" s="69">
        <v>1</v>
      </c>
      <c r="E18" s="69" t="s">
        <v>92</v>
      </c>
      <c r="F18" s="33"/>
      <c r="G18" s="55"/>
      <c r="H18" s="70"/>
      <c r="I18" s="55"/>
      <c r="J18" s="55"/>
      <c r="K18" s="56"/>
      <c r="L18" s="34"/>
      <c r="M18" s="62" t="s">
        <v>29</v>
      </c>
      <c r="N18" s="69"/>
      <c r="O18" s="31"/>
    </row>
    <row r="19" spans="2:15" ht="18.600000000000001" thickTop="1" thickBot="1" x14ac:dyDescent="0.4">
      <c r="B19" s="32">
        <v>12</v>
      </c>
      <c r="C19" s="69" t="s">
        <v>54</v>
      </c>
      <c r="D19" s="69">
        <v>20</v>
      </c>
      <c r="E19" s="69" t="s">
        <v>44</v>
      </c>
      <c r="F19" s="33"/>
      <c r="G19" s="55"/>
      <c r="H19" s="55"/>
      <c r="I19" s="55"/>
      <c r="J19" s="70"/>
      <c r="K19" s="56"/>
      <c r="L19" s="34"/>
      <c r="M19" s="62" t="s">
        <v>29</v>
      </c>
      <c r="N19" s="69"/>
      <c r="O19" s="31"/>
    </row>
    <row r="20" spans="2:15" ht="18.600000000000001" thickTop="1" thickBot="1" x14ac:dyDescent="0.4">
      <c r="B20" s="32">
        <v>13</v>
      </c>
      <c r="C20" s="69" t="s">
        <v>88</v>
      </c>
      <c r="D20" s="69">
        <v>2.5</v>
      </c>
      <c r="E20" s="69" t="s">
        <v>44</v>
      </c>
      <c r="F20" s="33"/>
      <c r="G20" s="70"/>
      <c r="H20" s="55"/>
      <c r="I20" s="55"/>
      <c r="J20" s="55"/>
      <c r="K20" s="56"/>
      <c r="L20" s="34"/>
      <c r="M20" s="63" t="s">
        <v>27</v>
      </c>
      <c r="N20" s="69" t="s">
        <v>102</v>
      </c>
      <c r="O20" s="31" t="s">
        <v>25</v>
      </c>
    </row>
    <row r="21" spans="2:15" ht="18.600000000000001" thickTop="1" thickBot="1" x14ac:dyDescent="0.4">
      <c r="B21" s="32">
        <f t="shared" ref="B21:B50" si="0">1+B20</f>
        <v>14</v>
      </c>
      <c r="C21" s="69" t="s">
        <v>55</v>
      </c>
      <c r="D21" s="69">
        <v>2</v>
      </c>
      <c r="E21" s="69" t="s">
        <v>44</v>
      </c>
      <c r="F21" s="33"/>
      <c r="G21" s="55"/>
      <c r="H21" s="55"/>
      <c r="I21" s="70"/>
      <c r="J21" s="55"/>
      <c r="K21" s="56"/>
      <c r="L21" s="34"/>
      <c r="M21" s="61" t="s">
        <v>28</v>
      </c>
      <c r="N21" s="69"/>
      <c r="O21" s="31" t="s">
        <v>26</v>
      </c>
    </row>
    <row r="22" spans="2:15" ht="18.600000000000001" thickTop="1" thickBot="1" x14ac:dyDescent="0.4">
      <c r="B22" s="32">
        <f t="shared" si="0"/>
        <v>15</v>
      </c>
      <c r="C22" s="69" t="s">
        <v>56</v>
      </c>
      <c r="D22" s="69">
        <v>2</v>
      </c>
      <c r="E22" s="69" t="s">
        <v>93</v>
      </c>
      <c r="F22" s="33"/>
      <c r="G22" s="55"/>
      <c r="H22" s="70"/>
      <c r="I22" s="55"/>
      <c r="J22" s="55"/>
      <c r="K22" s="56"/>
      <c r="L22" s="34"/>
      <c r="M22" s="62" t="s">
        <v>29</v>
      </c>
      <c r="N22" s="69"/>
      <c r="O22" s="31"/>
    </row>
    <row r="23" spans="2:15" ht="18.600000000000001" thickTop="1" thickBot="1" x14ac:dyDescent="0.4">
      <c r="B23" s="32">
        <f t="shared" si="0"/>
        <v>16</v>
      </c>
      <c r="C23" s="69" t="s">
        <v>57</v>
      </c>
      <c r="D23" s="69">
        <v>90</v>
      </c>
      <c r="E23" s="69" t="s">
        <v>44</v>
      </c>
      <c r="F23" s="33"/>
      <c r="G23" s="55"/>
      <c r="H23" s="55"/>
      <c r="I23" s="55"/>
      <c r="J23" s="70"/>
      <c r="K23" s="56"/>
      <c r="L23" s="34"/>
      <c r="M23" s="62" t="s">
        <v>29</v>
      </c>
      <c r="N23" s="69" t="s">
        <v>82</v>
      </c>
      <c r="O23" s="31" t="s">
        <v>27</v>
      </c>
    </row>
    <row r="24" spans="2:15" ht="18.600000000000001" thickTop="1" thickBot="1" x14ac:dyDescent="0.4">
      <c r="B24" s="32"/>
      <c r="C24" s="69" t="s">
        <v>104</v>
      </c>
      <c r="D24" s="69">
        <v>3</v>
      </c>
      <c r="E24" s="69" t="s">
        <v>44</v>
      </c>
      <c r="F24" s="33"/>
      <c r="G24" s="70"/>
      <c r="H24" s="55"/>
      <c r="I24" s="55"/>
      <c r="J24" s="70"/>
      <c r="K24" s="56"/>
      <c r="L24" s="34"/>
      <c r="M24" s="63" t="s">
        <v>27</v>
      </c>
      <c r="N24" s="69"/>
      <c r="O24" s="31"/>
    </row>
    <row r="25" spans="2:15" ht="18.600000000000001" thickTop="1" thickBot="1" x14ac:dyDescent="0.4">
      <c r="B25" s="32">
        <v>17</v>
      </c>
      <c r="C25" s="69" t="s">
        <v>89</v>
      </c>
      <c r="D25" s="69">
        <v>5</v>
      </c>
      <c r="E25" s="69" t="s">
        <v>44</v>
      </c>
      <c r="F25" s="33"/>
      <c r="G25" s="70"/>
      <c r="H25" s="55"/>
      <c r="I25" s="55"/>
      <c r="J25" s="55"/>
      <c r="K25" s="56"/>
      <c r="L25" s="34"/>
      <c r="M25" s="63" t="s">
        <v>27</v>
      </c>
      <c r="N25" s="69" t="s">
        <v>83</v>
      </c>
      <c r="O25" s="31"/>
    </row>
    <row r="26" spans="2:15" ht="18.600000000000001" thickTop="1" thickBot="1" x14ac:dyDescent="0.4">
      <c r="B26" s="32">
        <v>18</v>
      </c>
      <c r="C26" s="69" t="s">
        <v>58</v>
      </c>
      <c r="D26" s="69">
        <v>1</v>
      </c>
      <c r="E26" s="69" t="s">
        <v>92</v>
      </c>
      <c r="F26" s="33"/>
      <c r="G26" s="55"/>
      <c r="H26" s="70"/>
      <c r="I26" s="55"/>
      <c r="J26" s="55"/>
      <c r="K26" s="56"/>
      <c r="L26" s="34"/>
      <c r="M26" s="62" t="s">
        <v>29</v>
      </c>
      <c r="N26" s="69"/>
      <c r="O26" s="31" t="s">
        <v>28</v>
      </c>
    </row>
    <row r="27" spans="2:15" ht="18.600000000000001" thickTop="1" thickBot="1" x14ac:dyDescent="0.4">
      <c r="B27" s="32">
        <f>1+B26</f>
        <v>19</v>
      </c>
      <c r="C27" s="69" t="s">
        <v>103</v>
      </c>
      <c r="D27" s="69">
        <v>6.2</v>
      </c>
      <c r="E27" s="69" t="s">
        <v>44</v>
      </c>
      <c r="F27" s="33"/>
      <c r="G27" s="70"/>
      <c r="H27" s="55"/>
      <c r="I27" s="55"/>
      <c r="J27" s="55"/>
      <c r="K27" s="56"/>
      <c r="L27" s="34"/>
      <c r="M27" s="63" t="s">
        <v>27</v>
      </c>
      <c r="N27" s="69"/>
      <c r="O27" s="31" t="s">
        <v>29</v>
      </c>
    </row>
    <row r="28" spans="2:15" ht="18.600000000000001" thickTop="1" thickBot="1" x14ac:dyDescent="0.4">
      <c r="B28" s="32">
        <f t="shared" si="0"/>
        <v>20</v>
      </c>
      <c r="C28" s="69" t="s">
        <v>59</v>
      </c>
      <c r="D28" s="69">
        <v>1</v>
      </c>
      <c r="E28" s="69" t="s">
        <v>91</v>
      </c>
      <c r="F28" s="33"/>
      <c r="G28" s="55"/>
      <c r="H28" s="70"/>
      <c r="I28" s="55"/>
      <c r="J28" s="55"/>
      <c r="K28" s="56"/>
      <c r="L28" s="34"/>
      <c r="M28" s="62" t="s">
        <v>29</v>
      </c>
      <c r="N28" s="69"/>
      <c r="O28" s="35"/>
    </row>
    <row r="29" spans="2:15" ht="18.600000000000001" thickTop="1" thickBot="1" x14ac:dyDescent="0.4">
      <c r="B29" s="32">
        <f t="shared" si="0"/>
        <v>21</v>
      </c>
      <c r="C29" s="69" t="s">
        <v>60</v>
      </c>
      <c r="D29" s="69">
        <v>30</v>
      </c>
      <c r="E29" s="69" t="s">
        <v>44</v>
      </c>
      <c r="F29" s="33"/>
      <c r="G29" s="55"/>
      <c r="H29" s="55"/>
      <c r="I29" s="55"/>
      <c r="J29" s="70"/>
      <c r="K29" s="56"/>
      <c r="L29" s="34"/>
      <c r="M29" s="62" t="s">
        <v>29</v>
      </c>
      <c r="N29" s="69"/>
      <c r="O29" s="35"/>
    </row>
    <row r="30" spans="2:15" ht="18.600000000000001" thickTop="1" thickBot="1" x14ac:dyDescent="0.4">
      <c r="B30" s="32">
        <f t="shared" si="0"/>
        <v>22</v>
      </c>
      <c r="C30" s="69" t="s">
        <v>61</v>
      </c>
      <c r="D30" s="69">
        <v>9</v>
      </c>
      <c r="E30" s="69" t="s">
        <v>44</v>
      </c>
      <c r="F30" s="33"/>
      <c r="G30" s="70"/>
      <c r="H30" s="55"/>
      <c r="I30" s="55"/>
      <c r="J30" s="55"/>
      <c r="K30" s="56"/>
      <c r="L30" s="34"/>
      <c r="M30" s="63" t="s">
        <v>27</v>
      </c>
      <c r="N30" s="69" t="s">
        <v>84</v>
      </c>
      <c r="O30" s="35"/>
    </row>
    <row r="31" spans="2:15" ht="18.600000000000001" thickTop="1" thickBot="1" x14ac:dyDescent="0.4">
      <c r="B31" s="32">
        <f t="shared" si="0"/>
        <v>23</v>
      </c>
      <c r="C31" s="69" t="s">
        <v>62</v>
      </c>
      <c r="D31" s="69">
        <v>3</v>
      </c>
      <c r="E31" s="69" t="s">
        <v>44</v>
      </c>
      <c r="F31" s="33"/>
      <c r="G31" s="55"/>
      <c r="H31" s="55"/>
      <c r="I31" s="70"/>
      <c r="J31" s="55"/>
      <c r="K31" s="56"/>
      <c r="L31" s="34"/>
      <c r="M31" s="61" t="s">
        <v>28</v>
      </c>
      <c r="N31" s="69"/>
      <c r="O31" s="35"/>
    </row>
    <row r="32" spans="2:15" ht="18.600000000000001" thickTop="1" thickBot="1" x14ac:dyDescent="0.4">
      <c r="B32" s="32">
        <f t="shared" si="0"/>
        <v>24</v>
      </c>
      <c r="C32" s="69" t="s">
        <v>63</v>
      </c>
      <c r="D32" s="69">
        <v>2</v>
      </c>
      <c r="E32" s="69" t="s">
        <v>90</v>
      </c>
      <c r="F32" s="33"/>
      <c r="G32" s="55"/>
      <c r="H32" s="70"/>
      <c r="I32" s="55"/>
      <c r="J32" s="55"/>
      <c r="K32" s="56"/>
      <c r="L32" s="34"/>
      <c r="M32" s="62" t="s">
        <v>29</v>
      </c>
      <c r="N32" s="69"/>
      <c r="O32" s="35"/>
    </row>
    <row r="33" spans="2:17" ht="18.600000000000001" thickTop="1" thickBot="1" x14ac:dyDescent="0.4">
      <c r="B33" s="32">
        <f t="shared" si="0"/>
        <v>25</v>
      </c>
      <c r="C33" s="69" t="s">
        <v>64</v>
      </c>
      <c r="D33" s="69">
        <v>15</v>
      </c>
      <c r="E33" s="69" t="s">
        <v>44</v>
      </c>
      <c r="F33" s="33"/>
      <c r="G33" s="55"/>
      <c r="H33" s="55"/>
      <c r="I33" s="55"/>
      <c r="J33" s="70"/>
      <c r="K33" s="56"/>
      <c r="L33" s="34"/>
      <c r="M33" s="62" t="s">
        <v>29</v>
      </c>
      <c r="N33" s="69"/>
      <c r="O33" s="35"/>
    </row>
    <row r="34" spans="2:17" ht="18.600000000000001" thickTop="1" thickBot="1" x14ac:dyDescent="0.4">
      <c r="B34" s="32">
        <f t="shared" si="0"/>
        <v>26</v>
      </c>
      <c r="C34" s="69" t="s">
        <v>65</v>
      </c>
      <c r="D34" s="69">
        <v>6.5</v>
      </c>
      <c r="E34" s="69" t="s">
        <v>44</v>
      </c>
      <c r="F34" s="33"/>
      <c r="G34" s="70"/>
      <c r="H34" s="55"/>
      <c r="I34" s="55"/>
      <c r="J34" s="55"/>
      <c r="K34" s="56"/>
      <c r="L34" s="34"/>
      <c r="M34" s="63" t="s">
        <v>27</v>
      </c>
      <c r="N34" s="69"/>
      <c r="O34" s="35"/>
    </row>
    <row r="35" spans="2:17" ht="18.600000000000001" thickTop="1" thickBot="1" x14ac:dyDescent="0.4">
      <c r="B35" s="32">
        <f t="shared" si="0"/>
        <v>27</v>
      </c>
      <c r="C35" s="69" t="s">
        <v>66</v>
      </c>
      <c r="D35" s="69">
        <v>1</v>
      </c>
      <c r="E35" s="69" t="s">
        <v>97</v>
      </c>
      <c r="F35" s="33"/>
      <c r="G35" s="55"/>
      <c r="H35" s="70"/>
      <c r="I35" s="55"/>
      <c r="J35" s="55"/>
      <c r="K35" s="56"/>
      <c r="L35" s="34"/>
      <c r="M35" s="62" t="s">
        <v>29</v>
      </c>
      <c r="N35" s="69"/>
      <c r="O35" s="35"/>
    </row>
    <row r="36" spans="2:17" ht="18.600000000000001" thickTop="1" thickBot="1" x14ac:dyDescent="0.4">
      <c r="B36" s="32">
        <f t="shared" si="0"/>
        <v>28</v>
      </c>
      <c r="C36" s="69" t="s">
        <v>67</v>
      </c>
      <c r="D36" s="69">
        <v>12</v>
      </c>
      <c r="E36" s="69" t="s">
        <v>44</v>
      </c>
      <c r="F36" s="36"/>
      <c r="G36" s="55"/>
      <c r="H36" s="55"/>
      <c r="I36" s="55"/>
      <c r="J36" s="70"/>
      <c r="K36" s="56"/>
      <c r="L36" s="37"/>
      <c r="M36" s="62" t="s">
        <v>29</v>
      </c>
      <c r="N36" s="69"/>
      <c r="O36" s="35"/>
    </row>
    <row r="37" spans="2:17" ht="18.600000000000001" thickTop="1" thickBot="1" x14ac:dyDescent="0.4">
      <c r="B37" s="32">
        <f>1+B36</f>
        <v>29</v>
      </c>
      <c r="C37" s="69" t="s">
        <v>68</v>
      </c>
      <c r="D37" s="69">
        <v>55</v>
      </c>
      <c r="E37" s="69" t="s">
        <v>44</v>
      </c>
      <c r="F37" s="33"/>
      <c r="G37" s="70"/>
      <c r="H37" s="55"/>
      <c r="I37" s="55"/>
      <c r="J37" s="55"/>
      <c r="K37" s="56"/>
      <c r="L37" s="34"/>
      <c r="M37" s="63" t="s">
        <v>27</v>
      </c>
      <c r="N37" s="69"/>
      <c r="O37" s="35"/>
    </row>
    <row r="38" spans="2:17" ht="18.600000000000001" thickTop="1" thickBot="1" x14ac:dyDescent="0.4">
      <c r="B38" s="32">
        <f t="shared" si="0"/>
        <v>30</v>
      </c>
      <c r="C38" s="69" t="s">
        <v>69</v>
      </c>
      <c r="D38" s="69">
        <v>10</v>
      </c>
      <c r="E38" s="69" t="s">
        <v>44</v>
      </c>
      <c r="F38" s="36"/>
      <c r="G38" s="55"/>
      <c r="H38" s="55"/>
      <c r="I38" s="55"/>
      <c r="J38" s="70"/>
      <c r="K38" s="56"/>
      <c r="L38" s="37"/>
      <c r="M38" s="62" t="s">
        <v>29</v>
      </c>
      <c r="N38" s="69" t="s">
        <v>85</v>
      </c>
    </row>
    <row r="39" spans="2:17" ht="18.600000000000001" thickTop="1" thickBot="1" x14ac:dyDescent="0.4">
      <c r="B39" s="32">
        <f t="shared" si="0"/>
        <v>31</v>
      </c>
      <c r="C39" s="69" t="s">
        <v>70</v>
      </c>
      <c r="D39" s="69">
        <v>2</v>
      </c>
      <c r="E39" s="69" t="s">
        <v>44</v>
      </c>
      <c r="F39" s="33"/>
      <c r="G39" s="55"/>
      <c r="H39" s="55"/>
      <c r="I39" s="70"/>
      <c r="J39" s="55"/>
      <c r="K39" s="56"/>
      <c r="L39" s="34"/>
      <c r="M39" s="61" t="s">
        <v>28</v>
      </c>
      <c r="N39" s="69"/>
    </row>
    <row r="40" spans="2:17" ht="18.600000000000001" thickTop="1" thickBot="1" x14ac:dyDescent="0.4">
      <c r="B40" s="32">
        <f t="shared" si="0"/>
        <v>32</v>
      </c>
      <c r="C40" s="69" t="s">
        <v>71</v>
      </c>
      <c r="D40" s="69">
        <v>3</v>
      </c>
      <c r="E40" s="69" t="s">
        <v>98</v>
      </c>
      <c r="F40" s="36"/>
      <c r="G40" s="55"/>
      <c r="H40" s="70"/>
      <c r="I40" s="55"/>
      <c r="J40" s="55"/>
      <c r="K40" s="56"/>
      <c r="L40" s="37"/>
      <c r="M40" s="62" t="s">
        <v>29</v>
      </c>
      <c r="N40" s="69"/>
    </row>
    <row r="41" spans="2:17" ht="18.600000000000001" thickTop="1" thickBot="1" x14ac:dyDescent="0.4">
      <c r="B41" s="32">
        <f t="shared" si="0"/>
        <v>33</v>
      </c>
      <c r="C41" s="69" t="s">
        <v>72</v>
      </c>
      <c r="D41" s="69">
        <v>35</v>
      </c>
      <c r="E41" s="69" t="s">
        <v>44</v>
      </c>
      <c r="F41" s="33"/>
      <c r="G41" s="55"/>
      <c r="H41" s="55"/>
      <c r="I41" s="55"/>
      <c r="J41" s="70"/>
      <c r="K41" s="56"/>
      <c r="L41" s="34"/>
      <c r="M41" s="62" t="s">
        <v>29</v>
      </c>
      <c r="N41" s="69"/>
    </row>
    <row r="42" spans="2:17" ht="18.600000000000001" thickTop="1" thickBot="1" x14ac:dyDescent="0.4">
      <c r="B42" s="32">
        <f t="shared" si="0"/>
        <v>34</v>
      </c>
      <c r="C42" s="69" t="s">
        <v>73</v>
      </c>
      <c r="D42" s="69">
        <v>13</v>
      </c>
      <c r="E42" s="69" t="s">
        <v>44</v>
      </c>
      <c r="F42" s="36"/>
      <c r="G42" s="70"/>
      <c r="H42" s="55"/>
      <c r="I42" s="55"/>
      <c r="J42" s="55"/>
      <c r="K42" s="56"/>
      <c r="L42" s="37"/>
      <c r="M42" s="63" t="s">
        <v>27</v>
      </c>
      <c r="N42" s="69"/>
    </row>
    <row r="43" spans="2:17" ht="18.600000000000001" thickTop="1" thickBot="1" x14ac:dyDescent="0.4">
      <c r="B43" s="32">
        <f t="shared" si="0"/>
        <v>35</v>
      </c>
      <c r="C43" s="69" t="s">
        <v>74</v>
      </c>
      <c r="D43" s="69">
        <v>4</v>
      </c>
      <c r="E43" s="69" t="s">
        <v>44</v>
      </c>
      <c r="F43" s="33"/>
      <c r="G43" s="55"/>
      <c r="H43" s="55"/>
      <c r="I43" s="70"/>
      <c r="J43" s="55"/>
      <c r="K43" s="56"/>
      <c r="L43" s="34"/>
      <c r="M43" s="61" t="s">
        <v>28</v>
      </c>
      <c r="N43" s="69"/>
      <c r="Q43" s="53"/>
    </row>
    <row r="44" spans="2:17" ht="18.600000000000001" thickTop="1" thickBot="1" x14ac:dyDescent="0.4">
      <c r="B44" s="32">
        <f t="shared" si="0"/>
        <v>36</v>
      </c>
      <c r="C44" s="69" t="s">
        <v>75</v>
      </c>
      <c r="D44" s="69">
        <v>1</v>
      </c>
      <c r="E44" s="69" t="s">
        <v>96</v>
      </c>
      <c r="F44" s="36"/>
      <c r="G44" s="55"/>
      <c r="H44" s="70"/>
      <c r="I44" s="55"/>
      <c r="J44" s="55"/>
      <c r="K44" s="56"/>
      <c r="L44" s="37"/>
      <c r="M44" s="62" t="s">
        <v>29</v>
      </c>
      <c r="N44" s="69"/>
    </row>
    <row r="45" spans="2:17" ht="18.600000000000001" thickTop="1" thickBot="1" x14ac:dyDescent="0.4">
      <c r="B45" s="32">
        <f t="shared" si="0"/>
        <v>37</v>
      </c>
      <c r="C45" s="69" t="s">
        <v>76</v>
      </c>
      <c r="D45" s="69">
        <v>5</v>
      </c>
      <c r="E45" s="69" t="s">
        <v>44</v>
      </c>
      <c r="F45" s="33"/>
      <c r="G45" s="70"/>
      <c r="H45" s="55"/>
      <c r="I45" s="55"/>
      <c r="J45" s="55"/>
      <c r="K45" s="56"/>
      <c r="L45" s="34"/>
      <c r="M45" s="61" t="s">
        <v>28</v>
      </c>
      <c r="N45" s="69" t="s">
        <v>86</v>
      </c>
    </row>
    <row r="46" spans="2:17" ht="18.600000000000001" thickTop="1" thickBot="1" x14ac:dyDescent="0.4">
      <c r="B46" s="32">
        <f t="shared" si="0"/>
        <v>38</v>
      </c>
      <c r="C46" s="69" t="s">
        <v>77</v>
      </c>
      <c r="D46" s="69">
        <v>2</v>
      </c>
      <c r="E46" s="69" t="s">
        <v>99</v>
      </c>
      <c r="F46" s="36"/>
      <c r="G46" s="55"/>
      <c r="H46" s="70"/>
      <c r="I46" s="55"/>
      <c r="J46" s="55"/>
      <c r="K46" s="56"/>
      <c r="L46" s="37"/>
      <c r="M46" s="62" t="s">
        <v>29</v>
      </c>
      <c r="N46" s="69"/>
    </row>
    <row r="47" spans="2:17" ht="18.600000000000001" thickTop="1" thickBot="1" x14ac:dyDescent="0.4">
      <c r="B47" s="32">
        <f t="shared" si="0"/>
        <v>39</v>
      </c>
      <c r="C47" s="69" t="s">
        <v>78</v>
      </c>
      <c r="D47" s="69">
        <v>15</v>
      </c>
      <c r="E47" s="69" t="s">
        <v>44</v>
      </c>
      <c r="F47" s="33"/>
      <c r="G47" s="55"/>
      <c r="H47" s="70"/>
      <c r="I47" s="55"/>
      <c r="J47" s="55"/>
      <c r="K47" s="56"/>
      <c r="L47" s="34"/>
      <c r="M47" s="61" t="s">
        <v>28</v>
      </c>
      <c r="N47" s="69"/>
    </row>
    <row r="48" spans="2:17" ht="14.4" x14ac:dyDescent="0.3">
      <c r="B48" s="54"/>
      <c r="C48" s="67" t="s">
        <v>30</v>
      </c>
      <c r="D48" s="68"/>
      <c r="E48" s="39"/>
      <c r="F48" s="40">
        <f>COUNTIF(G8:G36,"X")</f>
        <v>0</v>
      </c>
      <c r="G48" s="40">
        <f>COUNTIF(H8:H36,"X")</f>
        <v>0</v>
      </c>
      <c r="H48" s="40">
        <f>COUNTIF(I8:I36,"X")</f>
        <v>0</v>
      </c>
      <c r="I48" s="40">
        <f>COUNTIF(J8:J36,"X")</f>
        <v>0</v>
      </c>
      <c r="J48" s="40">
        <f>COUNTIF(K8:K36,"X")</f>
        <v>0</v>
      </c>
      <c r="K48" s="41"/>
    </row>
    <row r="49" spans="2:14" ht="14.4" x14ac:dyDescent="0.3">
      <c r="B49" s="54"/>
      <c r="C49" s="67" t="s">
        <v>31</v>
      </c>
      <c r="D49" s="68"/>
      <c r="E49" s="39"/>
      <c r="F49" s="42">
        <f>SUMIF(G8:G36,"X",D8:D36)</f>
        <v>0</v>
      </c>
      <c r="G49" s="42">
        <f>SUMIF(H8:H36,"X",D8:D36)</f>
        <v>0</v>
      </c>
      <c r="H49" s="42">
        <f>SUMIF(I8:I36,"X",D8:D36)</f>
        <v>0</v>
      </c>
      <c r="I49" s="42">
        <f>SUMIF(J8:J36,"X",D8:D36)</f>
        <v>0</v>
      </c>
      <c r="J49" s="42">
        <f>SUMIF(K8:K36,"X",D8:D36)</f>
        <v>0</v>
      </c>
      <c r="K49" s="41"/>
    </row>
    <row r="50" spans="2:14" ht="14.4" x14ac:dyDescent="0.3">
      <c r="B50" s="54"/>
    </row>
    <row r="51" spans="2:14" ht="14.4" x14ac:dyDescent="0.3">
      <c r="B51" s="54"/>
      <c r="C51" s="43" t="s">
        <v>32</v>
      </c>
      <c r="D51" s="44">
        <f>COUNTIF(M8:M47,"VA")</f>
        <v>9</v>
      </c>
      <c r="E51" s="45"/>
      <c r="F51" s="46"/>
      <c r="G51" s="47" t="s">
        <v>33</v>
      </c>
      <c r="H51" s="44">
        <f>COUNTIF(M8:M47,"NVA")</f>
        <v>24</v>
      </c>
      <c r="I51" s="46"/>
      <c r="J51" s="48"/>
      <c r="K51" s="48" t="s">
        <v>34</v>
      </c>
      <c r="L51" s="44">
        <f>COUNTIF(M8:M47,"ENVA")</f>
        <v>7</v>
      </c>
      <c r="M51" s="46"/>
    </row>
    <row r="52" spans="2:14" ht="14.4" x14ac:dyDescent="0.3">
      <c r="B52" s="54"/>
      <c r="C52" s="43" t="s">
        <v>35</v>
      </c>
      <c r="D52" s="44">
        <f>SUMIF(M8:M47,"VA",D8:D47)</f>
        <v>106.2</v>
      </c>
      <c r="E52" s="49" t="s">
        <v>36</v>
      </c>
      <c r="F52" s="46"/>
      <c r="G52" s="47" t="s">
        <v>37</v>
      </c>
      <c r="H52" s="44">
        <f>SUMIF(M8:M47,"NVA",D8:D47)</f>
        <v>550</v>
      </c>
      <c r="I52" s="49" t="s">
        <v>36</v>
      </c>
      <c r="J52" s="48"/>
      <c r="K52" s="48" t="s">
        <v>38</v>
      </c>
      <c r="L52" s="44">
        <f>SUMIF(M8:M47,"ENVA",D8:D47)</f>
        <v>36</v>
      </c>
      <c r="M52" s="49" t="s">
        <v>36</v>
      </c>
    </row>
    <row r="53" spans="2:14" x14ac:dyDescent="0.3">
      <c r="B53" s="38"/>
      <c r="C53" s="50" t="s">
        <v>39</v>
      </c>
      <c r="D53" s="51">
        <v>41</v>
      </c>
      <c r="E53" s="49" t="s">
        <v>40</v>
      </c>
      <c r="F53" s="46"/>
      <c r="G53" s="50" t="s">
        <v>41</v>
      </c>
      <c r="H53" s="51">
        <f>SUM(D8:D47)</f>
        <v>692.2</v>
      </c>
      <c r="I53" s="49" t="s">
        <v>36</v>
      </c>
      <c r="J53" s="50"/>
      <c r="K53" s="50" t="s">
        <v>42</v>
      </c>
      <c r="L53" s="52">
        <f>IF(ISERROR(D52/H53),"",(D52/H53))</f>
        <v>0.15342386593470095</v>
      </c>
      <c r="M53" s="46"/>
    </row>
    <row r="56" spans="2:14" x14ac:dyDescent="0.3">
      <c r="B56" s="38"/>
      <c r="C56" s="38"/>
    </row>
    <row r="57" spans="2:14" x14ac:dyDescent="0.3">
      <c r="B57" s="38"/>
    </row>
    <row r="58" spans="2:14" x14ac:dyDescent="0.3">
      <c r="B58" s="38"/>
    </row>
    <row r="59" spans="2:14" x14ac:dyDescent="0.3">
      <c r="B59" s="38"/>
    </row>
    <row r="60" spans="2:14" x14ac:dyDescent="0.3">
      <c r="B60" s="38"/>
    </row>
    <row r="61" spans="2:14" x14ac:dyDescent="0.3">
      <c r="B61" s="38"/>
    </row>
    <row r="62" spans="2:14" x14ac:dyDescent="0.3"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</row>
  </sheetData>
  <mergeCells count="3">
    <mergeCell ref="E3:G3"/>
    <mergeCell ref="C49:D49"/>
    <mergeCell ref="C48:D48"/>
  </mergeCells>
  <phoneticPr fontId="2" type="noConversion"/>
  <dataValidations disablePrompts="1" count="2">
    <dataValidation type="list" allowBlank="1" showInputMessage="1" showErrorMessage="1" sqref="J3" xr:uid="{00000000-0002-0000-0000-000001000000}">
      <formula1>$O$18:$O$21</formula1>
    </dataValidation>
    <dataValidation type="list" allowBlank="1" showInputMessage="1" showErrorMessage="1" sqref="N3" xr:uid="{00000000-0002-0000-0000-000002000000}">
      <formula1>$O$7:$O$16</formula1>
    </dataValidation>
  </dataValidations>
  <printOptions horizontalCentered="1" verticalCentered="1"/>
  <pageMargins left="0.1" right="0.1" top="0.5" bottom="0.1" header="0.1" footer="0.1"/>
  <pageSetup paperSize="9" scale="9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C25D-DAC7-42C5-8750-14059A7BE9C5}">
  <dimension ref="A1"/>
  <sheetViews>
    <sheetView topLeftCell="A28" workbookViewId="0"/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1941B9AECD4C4C9FA0A859B09DA23A" ma:contentTypeVersion="0" ma:contentTypeDescription="Create a new document." ma:contentTypeScope="" ma:versionID="4fc3ca5b5f9df64a9781b4cac7081a4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3C0DD7-E0B5-41A3-B350-5BC93F6D6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07025A-A195-404C-858F-C617851565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E05F7B-2F64-49E7-ABE7-15CCB3B1D88A}">
  <ds:schemaRefs>
    <ds:schemaRef ds:uri="http://purl.org/dc/dcmitype/"/>
    <ds:schemaRef ds:uri="http://schemas.microsoft.com/office/2006/documentManagement/types"/>
    <ds:schemaRef ds:uri="d1645e34-439f-4538-a653-0c018142c683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49bd6c7e-7f1e-4e88-93ff-b6df9d2c8b48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 Chart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lolo</dc:creator>
  <cp:keywords/>
  <dc:description/>
  <cp:lastModifiedBy>Abe Jada</cp:lastModifiedBy>
  <cp:revision/>
  <dcterms:created xsi:type="dcterms:W3CDTF">1996-10-14T23:33:28Z</dcterms:created>
  <dcterms:modified xsi:type="dcterms:W3CDTF">2026-04-30T17:04:07Z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0x010100AB1941B9AECD4C4C9FA0A859B09DA23A</vt:lpwstr>
  </property>
</Properties>
</file>