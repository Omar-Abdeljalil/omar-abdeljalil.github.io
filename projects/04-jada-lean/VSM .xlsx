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hatuniversity-my.sharepoint.com/personal/23110604_htu_edu_jo/Documents/Desktop/Lean Manufacturing/"/>
    </mc:Choice>
  </mc:AlternateContent>
  <xr:revisionPtr revIDLastSave="194" documentId="8_{B2883755-EFA3-48B3-847D-2B43AC4E6174}" xr6:coauthVersionLast="47" xr6:coauthVersionMax="47" xr10:uidLastSave="{1EF1FF7B-2B65-4958-A38A-E5FAFEC5778A}"/>
  <bookViews>
    <workbookView xWindow="-108" yWindow="-108" windowWidth="23256" windowHeight="12576" tabRatio="580" xr2:uid="{00000000-000D-0000-FFFF-FFFF00000000}"/>
  </bookViews>
  <sheets>
    <sheet name="VSM" sheetId="1" r:id="rId1"/>
    <sheet name="FSVS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5" i="2" l="1"/>
  <c r="AH39" i="2"/>
  <c r="AH40" i="2"/>
  <c r="AH41" i="1"/>
  <c r="AH40" i="1"/>
  <c r="AH39" i="1"/>
  <c r="AH36" i="2"/>
  <c r="AH38" i="2"/>
  <c r="A34" i="2"/>
  <c r="AH37" i="1"/>
  <c r="AH36" i="1"/>
  <c r="AH35" i="1"/>
  <c r="A34" i="1"/>
  <c r="AH38" i="1"/>
  <c r="AI39" i="2" l="1"/>
  <c r="AH37" i="2"/>
</calcChain>
</file>

<file path=xl/sharedStrings.xml><?xml version="1.0" encoding="utf-8"?>
<sst xmlns="http://schemas.openxmlformats.org/spreadsheetml/2006/main" count="190" uniqueCount="51">
  <si>
    <t>min</t>
  </si>
  <si>
    <t>Lead Time</t>
  </si>
  <si>
    <t>process Time</t>
  </si>
  <si>
    <t>activity</t>
  </si>
  <si>
    <t xml:space="preserve">20 min </t>
  </si>
  <si>
    <t># Shift</t>
  </si>
  <si>
    <t># Operators</t>
  </si>
  <si>
    <t xml:space="preserve"> </t>
  </si>
  <si>
    <t xml:space="preserve"># OF Worker </t>
  </si>
  <si>
    <t xml:space="preserve">Process Time </t>
  </si>
  <si>
    <t xml:space="preserve">lead time </t>
  </si>
  <si>
    <t xml:space="preserve">cycle time </t>
  </si>
  <si>
    <t>1 min</t>
  </si>
  <si>
    <t>304 min</t>
  </si>
  <si>
    <t xml:space="preserve">20 Min </t>
  </si>
  <si>
    <t>21.5 min</t>
  </si>
  <si>
    <t xml:space="preserve">8 min </t>
  </si>
  <si>
    <t>90 min</t>
  </si>
  <si>
    <t xml:space="preserve">90 min </t>
  </si>
  <si>
    <t>98min</t>
  </si>
  <si>
    <t xml:space="preserve">6.2 min </t>
  </si>
  <si>
    <t>7.2 min</t>
  </si>
  <si>
    <t xml:space="preserve">1min </t>
  </si>
  <si>
    <t>30  min</t>
  </si>
  <si>
    <t xml:space="preserve">30 min  </t>
  </si>
  <si>
    <t>15 min</t>
  </si>
  <si>
    <t xml:space="preserve">35 min </t>
  </si>
  <si>
    <t>6 min</t>
  </si>
  <si>
    <t xml:space="preserve">6 min </t>
  </si>
  <si>
    <t xml:space="preserve">2.5 min </t>
  </si>
  <si>
    <t xml:space="preserve">9 min </t>
  </si>
  <si>
    <t>6.5 min</t>
  </si>
  <si>
    <t xml:space="preserve">12 min </t>
  </si>
  <si>
    <t>55 min</t>
  </si>
  <si>
    <t xml:space="preserve">55 min </t>
  </si>
  <si>
    <t xml:space="preserve">13  min </t>
  </si>
  <si>
    <t xml:space="preserve">13 min </t>
  </si>
  <si>
    <t xml:space="preserve">C / A </t>
  </si>
  <si>
    <t>310 min</t>
  </si>
  <si>
    <t>22.5 min</t>
  </si>
  <si>
    <t>39min</t>
  </si>
  <si>
    <t>9 min</t>
  </si>
  <si>
    <t>67 min</t>
  </si>
  <si>
    <t xml:space="preserve">48 min </t>
  </si>
  <si>
    <t>RFPY</t>
  </si>
  <si>
    <t>TAKT Time</t>
  </si>
  <si>
    <t>33 min</t>
  </si>
  <si>
    <t xml:space="preserve">5 min </t>
  </si>
  <si>
    <t xml:space="preserve">3 min </t>
  </si>
  <si>
    <t xml:space="preserve">80 min </t>
  </si>
  <si>
    <t>80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</si>
</sst>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rgb="FF000000"/>
      <name val="Times New Roman"/>
      <family val="1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Protection="1">
      <protection locked="0"/>
    </xf>
    <xf numFmtId="20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0" fontId="0" fillId="0" borderId="0" xfId="0" applyNumberFormat="1" applyProtection="1">
      <protection locked="0"/>
    </xf>
    <xf numFmtId="0" fontId="1" fillId="0" borderId="0" xfId="0" applyFont="1" applyAlignment="1" applyProtection="1">
      <alignment horizontal="right"/>
      <protection locked="0"/>
    </xf>
    <xf numFmtId="0" fontId="0" fillId="0" borderId="1" xfId="0" applyBorder="1" applyProtection="1">
      <protection locked="0"/>
    </xf>
    <xf numFmtId="0" fontId="0" fillId="0" borderId="2" xfId="0" applyBorder="1"/>
    <xf numFmtId="0" fontId="0" fillId="0" borderId="4" xfId="0" applyBorder="1"/>
    <xf numFmtId="0" fontId="1" fillId="0" borderId="3" xfId="0" applyFont="1" applyBorder="1" applyAlignment="1" applyProtection="1">
      <alignment horizontal="center"/>
      <protection locked="0"/>
    </xf>
    <xf numFmtId="0" fontId="2" fillId="0" borderId="0" xfId="0" applyFont="1"/>
    <xf numFmtId="0" fontId="0" fillId="0" borderId="4" xfId="0" applyBorder="1" applyProtection="1"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0" xfId="0" applyAlignment="1">
      <alignment horizontal="right"/>
    </xf>
    <xf numFmtId="0" fontId="0" fillId="0" borderId="3" xfId="0" applyBorder="1" applyAlignment="1" applyProtection="1">
      <alignment horizontal="center"/>
      <protection locked="0"/>
    </xf>
    <xf numFmtId="10" fontId="0" fillId="0" borderId="4" xfId="0" applyNumberFormat="1" applyBorder="1" applyAlignment="1" applyProtection="1">
      <alignment horizontal="center"/>
      <protection locked="0"/>
    </xf>
    <xf numFmtId="0" fontId="0" fillId="0" borderId="5" xfId="0" applyBorder="1"/>
    <xf numFmtId="0" fontId="0" fillId="0" borderId="2" xfId="0" applyBorder="1" applyProtection="1">
      <protection locked="0"/>
    </xf>
    <xf numFmtId="0" fontId="0" fillId="0" borderId="3" xfId="0" applyBorder="1" applyAlignment="1">
      <alignment horizontal="left" vertical="center"/>
    </xf>
    <xf numFmtId="0" fontId="0" fillId="0" borderId="3" xfId="0" applyBorder="1"/>
    <xf numFmtId="0" fontId="0" fillId="0" borderId="5" xfId="0" applyBorder="1" applyProtection="1">
      <protection locked="0"/>
    </xf>
    <xf numFmtId="0" fontId="0" fillId="0" borderId="6" xfId="0" applyBorder="1" applyProtection="1">
      <protection locked="0"/>
    </xf>
    <xf numFmtId="0" fontId="3" fillId="0" borderId="4" xfId="0" applyFont="1" applyBorder="1"/>
    <xf numFmtId="0" fontId="3" fillId="0" borderId="6" xfId="0" applyFont="1" applyBorder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Protection="1">
      <protection locked="0"/>
    </xf>
    <xf numFmtId="0" fontId="0" fillId="0" borderId="7" xfId="0" applyBorder="1"/>
    <xf numFmtId="9" fontId="0" fillId="0" borderId="8" xfId="0" applyNumberFormat="1" applyBorder="1"/>
    <xf numFmtId="10" fontId="0" fillId="0" borderId="8" xfId="0" applyNumberFormat="1" applyBorder="1"/>
    <xf numFmtId="164" fontId="0" fillId="0" borderId="4" xfId="0" applyNumberFormat="1" applyBorder="1"/>
    <xf numFmtId="165" fontId="0" fillId="0" borderId="6" xfId="0" applyNumberFormat="1" applyBorder="1"/>
    <xf numFmtId="0" fontId="0" fillId="0" borderId="0" xfId="0" applyAlignment="1" applyProtection="1">
      <alignment horizont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326470</xdr:colOff>
      <xdr:row>9</xdr:row>
      <xdr:rowOff>72200</xdr:rowOff>
    </xdr:from>
    <xdr:to>
      <xdr:col>37</xdr:col>
      <xdr:colOff>479509</xdr:colOff>
      <xdr:row>14</xdr:row>
      <xdr:rowOff>92783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28251529" y="1685847"/>
          <a:ext cx="3469980" cy="917054"/>
          <a:chOff x="4267200" y="2391675"/>
          <a:chExt cx="1139984" cy="795770"/>
        </a:xfrm>
      </xdr:grpSpPr>
      <xdr:pic>
        <xdr:nvPicPr>
          <xdr:cNvPr id="3" name="Picture 2" descr="VSM-Icons_Outside-SourcesTra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425" t="4494" r="3540" b="4494"/>
          <a:stretch>
            <a:fillRect/>
          </a:stretch>
        </xdr:blipFill>
        <xdr:spPr bwMode="auto">
          <a:xfrm>
            <a:off x="4319602" y="2391675"/>
            <a:ext cx="1087582" cy="79577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TextBox 37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4267200" y="2790965"/>
            <a:ext cx="1039245" cy="25028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050" b="1"/>
              <a:t>Customer</a:t>
            </a:r>
          </a:p>
        </xdr:txBody>
      </xdr:sp>
    </xdr:grpSp>
    <xdr:clientData/>
  </xdr:twoCellAnchor>
  <xdr:twoCellAnchor>
    <xdr:from>
      <xdr:col>15</xdr:col>
      <xdr:colOff>412750</xdr:colOff>
      <xdr:row>1</xdr:row>
      <xdr:rowOff>159959</xdr:rowOff>
    </xdr:from>
    <xdr:to>
      <xdr:col>17</xdr:col>
      <xdr:colOff>431800</xdr:colOff>
      <xdr:row>5</xdr:row>
      <xdr:rowOff>119744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>
          <a:grpSpLocks/>
        </xdr:cNvGrpSpPr>
      </xdr:nvGrpSpPr>
      <xdr:grpSpPr bwMode="auto">
        <a:xfrm>
          <a:off x="11678397" y="339253"/>
          <a:ext cx="1438462" cy="676962"/>
          <a:chOff x="1828800" y="2463436"/>
          <a:chExt cx="1676400" cy="965565"/>
        </a:xfrm>
      </xdr:grpSpPr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828800" y="2463436"/>
            <a:ext cx="1676400" cy="437988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  <xdr:sp macro="" textlink="">
        <xdr:nvSpPr>
          <xdr:cNvPr id="7" name="TextBox 5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1853333" y="2533115"/>
            <a:ext cx="1602802" cy="66865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/>
              <a:t>control</a:t>
            </a:r>
            <a:r>
              <a:rPr lang="en-US" sz="1200" b="1" baseline="0"/>
              <a:t> </a:t>
            </a:r>
          </a:p>
          <a:p>
            <a:pPr algn="ctr"/>
            <a:r>
              <a:rPr lang="en-US" sz="1200" b="1" baseline="0"/>
              <a:t>unit</a:t>
            </a:r>
            <a:endParaRPr lang="en-US" sz="1200" b="1"/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1828800" y="2901424"/>
            <a:ext cx="1676400" cy="52757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</xdr:grpSp>
    <xdr:clientData/>
  </xdr:twoCellAnchor>
  <xdr:twoCellAnchor>
    <xdr:from>
      <xdr:col>0</xdr:col>
      <xdr:colOff>194609</xdr:colOff>
      <xdr:row>4</xdr:row>
      <xdr:rowOff>82550</xdr:rowOff>
    </xdr:from>
    <xdr:to>
      <xdr:col>2</xdr:col>
      <xdr:colOff>69850</xdr:colOff>
      <xdr:row>9</xdr:row>
      <xdr:rowOff>76200</xdr:rowOff>
    </xdr:to>
    <xdr:grpSp>
      <xdr:nvGrpSpPr>
        <xdr:cNvPr id="9" name="Group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>
          <a:grpSpLocks/>
        </xdr:cNvGrpSpPr>
      </xdr:nvGrpSpPr>
      <xdr:grpSpPr bwMode="auto">
        <a:xfrm>
          <a:off x="194609" y="799726"/>
          <a:ext cx="1339476" cy="890121"/>
          <a:chOff x="4252230" y="2418750"/>
          <a:chExt cx="1102552" cy="795770"/>
        </a:xfrm>
      </xdr:grpSpPr>
      <xdr:pic>
        <xdr:nvPicPr>
          <xdr:cNvPr id="10" name="Picture 2" descr="VSM-Icons_Outside-SourcesTra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425" t="4494" r="3540" b="4494"/>
          <a:stretch>
            <a:fillRect/>
          </a:stretch>
        </xdr:blipFill>
        <xdr:spPr bwMode="auto">
          <a:xfrm>
            <a:off x="4267200" y="2418750"/>
            <a:ext cx="1087582" cy="79577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1" name="TextBox 37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/>
        </xdr:nvSpPr>
        <xdr:spPr>
          <a:xfrm>
            <a:off x="4252230" y="2524812"/>
            <a:ext cx="1039245" cy="22462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1050" b="1">
              <a:solidFill>
                <a:schemeClr val="tx1"/>
              </a:solidFill>
            </a:endParaRPr>
          </a:p>
        </xdr:txBody>
      </xdr:sp>
    </xdr:grpSp>
    <xdr:clientData/>
  </xdr:twoCellAnchor>
  <xdr:twoCellAnchor editAs="oneCell">
    <xdr:from>
      <xdr:col>0</xdr:col>
      <xdr:colOff>304053</xdr:colOff>
      <xdr:row>11</xdr:row>
      <xdr:rowOff>19797</xdr:rowOff>
    </xdr:from>
    <xdr:to>
      <xdr:col>1</xdr:col>
      <xdr:colOff>420494</xdr:colOff>
      <xdr:row>14</xdr:row>
      <xdr:rowOff>57897</xdr:rowOff>
    </xdr:to>
    <xdr:pic>
      <xdr:nvPicPr>
        <xdr:cNvPr id="12" name="Picture 30" descr="VSM-Icons_Truck-Shipment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0" t="13792" r="4425" b="12643"/>
        <a:stretch>
          <a:fillRect/>
        </a:stretch>
      </xdr:blipFill>
      <xdr:spPr bwMode="auto">
        <a:xfrm>
          <a:off x="304053" y="1992032"/>
          <a:ext cx="990500" cy="5759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672352</xdr:colOff>
      <xdr:row>5</xdr:row>
      <xdr:rowOff>89648</xdr:rowOff>
    </xdr:from>
    <xdr:to>
      <xdr:col>16</xdr:col>
      <xdr:colOff>448237</xdr:colOff>
      <xdr:row>22</xdr:row>
      <xdr:rowOff>56032</xdr:rowOff>
    </xdr:to>
    <xdr:sp macro="" textlink="">
      <xdr:nvSpPr>
        <xdr:cNvPr id="29" name="Line 30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ShapeType="1"/>
        </xdr:cNvSpPr>
      </xdr:nvSpPr>
      <xdr:spPr bwMode="auto">
        <a:xfrm rot="-5400000" flipH="1" flipV="1">
          <a:off x="6280897" y="-2179544"/>
          <a:ext cx="3014384" cy="9345709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</xdr:row>
      <xdr:rowOff>119717</xdr:rowOff>
    </xdr:from>
    <xdr:to>
      <xdr:col>2</xdr:col>
      <xdr:colOff>329259</xdr:colOff>
      <xdr:row>8</xdr:row>
      <xdr:rowOff>42440</xdr:rowOff>
    </xdr:to>
    <xdr:sp macro="" textlink="">
      <xdr:nvSpPr>
        <xdr:cNvPr id="32" name="TextBox 5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 bwMode="auto">
        <a:xfrm>
          <a:off x="0" y="1192161"/>
          <a:ext cx="1552222" cy="280205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/>
            <a:t>supplier</a:t>
          </a:r>
        </a:p>
      </xdr:txBody>
    </xdr:sp>
    <xdr:clientData/>
  </xdr:twoCellAnchor>
  <xdr:twoCellAnchor>
    <xdr:from>
      <xdr:col>2</xdr:col>
      <xdr:colOff>55814</xdr:colOff>
      <xdr:row>4</xdr:row>
      <xdr:rowOff>35226</xdr:rowOff>
    </xdr:from>
    <xdr:to>
      <xdr:col>15</xdr:col>
      <xdr:colOff>428525</xdr:colOff>
      <xdr:row>8</xdr:row>
      <xdr:rowOff>915</xdr:rowOff>
    </xdr:to>
    <xdr:sp macro="" textlink="">
      <xdr:nvSpPr>
        <xdr:cNvPr id="34" name="Freeform 3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/>
        </xdr:cNvSpPr>
      </xdr:nvSpPr>
      <xdr:spPr bwMode="auto">
        <a:xfrm rot="16016796" flipV="1">
          <a:off x="6239020" y="-3958232"/>
          <a:ext cx="703626" cy="10166416"/>
        </a:xfrm>
        <a:custGeom>
          <a:avLst/>
          <a:gdLst>
            <a:gd name="T0" fmla="*/ 2147483646 w 21"/>
            <a:gd name="T1" fmla="*/ 0 h 347"/>
            <a:gd name="T2" fmla="*/ 0 w 21"/>
            <a:gd name="T3" fmla="*/ 2147483646 h 347"/>
            <a:gd name="T4" fmla="*/ 2147483646 w 21"/>
            <a:gd name="T5" fmla="*/ 2147483646 h 347"/>
            <a:gd name="T6" fmla="*/ 2147483646 w 21"/>
            <a:gd name="T7" fmla="*/ 2147483646 h 347"/>
            <a:gd name="T8" fmla="*/ 0 60000 65536"/>
            <a:gd name="T9" fmla="*/ 0 60000 65536"/>
            <a:gd name="T10" fmla="*/ 0 60000 65536"/>
            <a:gd name="T11" fmla="*/ 0 60000 65536"/>
            <a:gd name="T12" fmla="*/ 0 w 21"/>
            <a:gd name="T13" fmla="*/ 0 h 347"/>
            <a:gd name="T14" fmla="*/ 21 w 21"/>
            <a:gd name="T15" fmla="*/ 347 h 347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" h="347">
              <a:moveTo>
                <a:pt x="18" y="0"/>
              </a:moveTo>
              <a:cubicBezTo>
                <a:pt x="9" y="66"/>
                <a:pt x="0" y="132"/>
                <a:pt x="0" y="162"/>
              </a:cubicBezTo>
              <a:cubicBezTo>
                <a:pt x="0" y="192"/>
                <a:pt x="15" y="148"/>
                <a:pt x="18" y="179"/>
              </a:cubicBezTo>
              <a:cubicBezTo>
                <a:pt x="21" y="210"/>
                <a:pt x="19" y="278"/>
                <a:pt x="17" y="347"/>
              </a:cubicBezTo>
            </a:path>
          </a:pathLst>
        </a:custGeom>
        <a:noFill/>
        <a:ln w="38100" cap="flat" cmpd="sng">
          <a:solidFill>
            <a:srgbClr val="000000"/>
          </a:solidFill>
          <a:prstDash val="solid"/>
          <a:round/>
          <a:headEnd type="none" w="med" len="med"/>
          <a:tailEnd type="triangle" w="lg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56147</xdr:colOff>
      <xdr:row>27</xdr:row>
      <xdr:rowOff>88230</xdr:rowOff>
    </xdr:from>
    <xdr:to>
      <xdr:col>18</xdr:col>
      <xdr:colOff>16042</xdr:colOff>
      <xdr:row>27</xdr:row>
      <xdr:rowOff>96251</xdr:rowOff>
    </xdr:to>
    <xdr:sp macro="" textlink="">
      <xdr:nvSpPr>
        <xdr:cNvPr id="140" name="Line 48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>
          <a:spLocks noChangeShapeType="1"/>
        </xdr:cNvSpPr>
      </xdr:nvSpPr>
      <xdr:spPr bwMode="auto">
        <a:xfrm flipV="1">
          <a:off x="12240126" y="5077325"/>
          <a:ext cx="1179095" cy="8021"/>
        </a:xfrm>
        <a:prstGeom prst="line">
          <a:avLst/>
        </a:prstGeom>
        <a:noFill/>
        <a:ln w="152400">
          <a:solidFill>
            <a:srgbClr val="000000"/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67235</xdr:colOff>
      <xdr:row>15</xdr:row>
      <xdr:rowOff>145676</xdr:rowOff>
    </xdr:from>
    <xdr:to>
      <xdr:col>2</xdr:col>
      <xdr:colOff>112059</xdr:colOff>
      <xdr:row>22</xdr:row>
      <xdr:rowOff>134469</xdr:rowOff>
    </xdr:to>
    <xdr:sp macro="" textlink="">
      <xdr:nvSpPr>
        <xdr:cNvPr id="157" name="Line 48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>
          <a:spLocks noChangeShapeType="1"/>
        </xdr:cNvSpPr>
      </xdr:nvSpPr>
      <xdr:spPr bwMode="auto">
        <a:xfrm>
          <a:off x="941294" y="2835088"/>
          <a:ext cx="627530" cy="1243852"/>
        </a:xfrm>
        <a:prstGeom prst="line">
          <a:avLst/>
        </a:prstGeom>
        <a:noFill/>
        <a:ln w="152400">
          <a:solidFill>
            <a:srgbClr val="000000"/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33</xdr:col>
      <xdr:colOff>753235</xdr:colOff>
      <xdr:row>20</xdr:row>
      <xdr:rowOff>127635</xdr:rowOff>
    </xdr:from>
    <xdr:to>
      <xdr:col>34</xdr:col>
      <xdr:colOff>515471</xdr:colOff>
      <xdr:row>24</xdr:row>
      <xdr:rowOff>138010</xdr:rowOff>
    </xdr:to>
    <xdr:pic>
      <xdr:nvPicPr>
        <xdr:cNvPr id="159" name="Picture 30" descr="VSM-Icons_Truck-Shipment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0" t="13792" r="4425" b="12643"/>
        <a:stretch>
          <a:fillRect/>
        </a:stretch>
      </xdr:blipFill>
      <xdr:spPr bwMode="auto">
        <a:xfrm>
          <a:off x="27120676" y="3713517"/>
          <a:ext cx="1207795" cy="7275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450850</xdr:colOff>
      <xdr:row>34</xdr:row>
      <xdr:rowOff>100642</xdr:rowOff>
    </xdr:from>
    <xdr:to>
      <xdr:col>4</xdr:col>
      <xdr:colOff>219074</xdr:colOff>
      <xdr:row>35</xdr:row>
      <xdr:rowOff>82551</xdr:rowOff>
    </xdr:to>
    <xdr:grpSp>
      <xdr:nvGrpSpPr>
        <xdr:cNvPr id="160" name="Group 34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GrpSpPr>
          <a:grpSpLocks/>
        </xdr:cNvGrpSpPr>
      </xdr:nvGrpSpPr>
      <xdr:grpSpPr bwMode="auto">
        <a:xfrm>
          <a:off x="1332379" y="6256407"/>
          <a:ext cx="2069166" cy="176144"/>
          <a:chOff x="5143500" y="4914900"/>
          <a:chExt cx="1295400" cy="228600"/>
        </a:xfrm>
      </xdr:grpSpPr>
      <xdr:cxnSp macro="">
        <xdr:nvCxnSpPr>
          <xdr:cNvPr id="161" name="Straight Connector 160">
            <a:extLst>
              <a:ext uri="{FF2B5EF4-FFF2-40B4-BE49-F238E27FC236}">
                <a16:creationId xmlns:a16="http://schemas.microsoft.com/office/drawing/2014/main" id="{00000000-0008-0000-0000-0000A1000000}"/>
              </a:ext>
            </a:extLst>
          </xdr:cNvPr>
          <xdr:cNvCxnSpPr/>
        </xdr:nvCxnSpPr>
        <xdr:spPr>
          <a:xfrm rot="5400000">
            <a:off x="50292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2" name="Straight Connector 161">
            <a:extLst>
              <a:ext uri="{FF2B5EF4-FFF2-40B4-BE49-F238E27FC236}">
                <a16:creationId xmlns:a16="http://schemas.microsoft.com/office/drawing/2014/main" id="{00000000-0008-0000-0000-0000A2000000}"/>
              </a:ext>
            </a:extLst>
          </xdr:cNvPr>
          <xdr:cNvCxnSpPr/>
        </xdr:nvCxnSpPr>
        <xdr:spPr>
          <a:xfrm rot="5400000">
            <a:off x="63246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3" name="Straight Connector 162">
            <a:extLst>
              <a:ext uri="{FF2B5EF4-FFF2-40B4-BE49-F238E27FC236}">
                <a16:creationId xmlns:a16="http://schemas.microsoft.com/office/drawing/2014/main" id="{00000000-0008-0000-0000-0000A3000000}"/>
              </a:ext>
            </a:extLst>
          </xdr:cNvPr>
          <xdr:cNvCxnSpPr/>
        </xdr:nvCxnSpPr>
        <xdr:spPr>
          <a:xfrm flipV="1">
            <a:off x="5143500" y="5124965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121380</xdr:colOff>
      <xdr:row>34</xdr:row>
      <xdr:rowOff>6743</xdr:rowOff>
    </xdr:from>
    <xdr:to>
      <xdr:col>20</xdr:col>
      <xdr:colOff>47203</xdr:colOff>
      <xdr:row>34</xdr:row>
      <xdr:rowOff>20230</xdr:rowOff>
    </xdr:to>
    <xdr:cxnSp macro="">
      <xdr:nvCxnSpPr>
        <xdr:cNvPr id="164" name="Straight Connector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CxnSpPr/>
      </xdr:nvCxnSpPr>
      <xdr:spPr>
        <a:xfrm flipH="1">
          <a:off x="13372088" y="6224124"/>
          <a:ext cx="1665611" cy="13487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228600</xdr:colOff>
      <xdr:row>34</xdr:row>
      <xdr:rowOff>6350</xdr:rowOff>
    </xdr:from>
    <xdr:to>
      <xdr:col>9</xdr:col>
      <xdr:colOff>0</xdr:colOff>
      <xdr:row>35</xdr:row>
      <xdr:rowOff>82550</xdr:rowOff>
    </xdr:to>
    <xdr:grpSp>
      <xdr:nvGrpSpPr>
        <xdr:cNvPr id="165" name="Group 3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GrpSpPr>
          <a:grpSpLocks/>
        </xdr:cNvGrpSpPr>
      </xdr:nvGrpSpPr>
      <xdr:grpSpPr bwMode="auto">
        <a:xfrm>
          <a:off x="4740835" y="6162115"/>
          <a:ext cx="2147047" cy="270435"/>
          <a:chOff x="5143500" y="4914900"/>
          <a:chExt cx="1295400" cy="228600"/>
        </a:xfrm>
      </xdr:grpSpPr>
      <xdr:cxnSp macro="">
        <xdr:nvCxnSpPr>
          <xdr:cNvPr id="166" name="Straight Connector 165">
            <a:extLst>
              <a:ext uri="{FF2B5EF4-FFF2-40B4-BE49-F238E27FC236}">
                <a16:creationId xmlns:a16="http://schemas.microsoft.com/office/drawing/2014/main" id="{00000000-0008-0000-0000-0000A6000000}"/>
              </a:ext>
            </a:extLst>
          </xdr:cNvPr>
          <xdr:cNvCxnSpPr/>
        </xdr:nvCxnSpPr>
        <xdr:spPr>
          <a:xfrm rot="5400000">
            <a:off x="50292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7" name="Straight Connector 166">
            <a:extLst>
              <a:ext uri="{FF2B5EF4-FFF2-40B4-BE49-F238E27FC236}">
                <a16:creationId xmlns:a16="http://schemas.microsoft.com/office/drawing/2014/main" id="{00000000-0008-0000-0000-0000A7000000}"/>
              </a:ext>
            </a:extLst>
          </xdr:cNvPr>
          <xdr:cNvCxnSpPr/>
        </xdr:nvCxnSpPr>
        <xdr:spPr>
          <a:xfrm rot="5400000">
            <a:off x="63246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8" name="Straight Connector 167">
            <a:extLst>
              <a:ext uri="{FF2B5EF4-FFF2-40B4-BE49-F238E27FC236}">
                <a16:creationId xmlns:a16="http://schemas.microsoft.com/office/drawing/2014/main" id="{00000000-0008-0000-0000-0000A8000000}"/>
              </a:ext>
            </a:extLst>
          </xdr:cNvPr>
          <xdr:cNvCxnSpPr/>
        </xdr:nvCxnSpPr>
        <xdr:spPr>
          <a:xfrm flipV="1">
            <a:off x="5143500" y="5124965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87097</xdr:colOff>
      <xdr:row>34</xdr:row>
      <xdr:rowOff>13048</xdr:rowOff>
    </xdr:from>
    <xdr:to>
      <xdr:col>13</xdr:col>
      <xdr:colOff>487147</xdr:colOff>
      <xdr:row>35</xdr:row>
      <xdr:rowOff>86414</xdr:rowOff>
    </xdr:to>
    <xdr:grpSp>
      <xdr:nvGrpSpPr>
        <xdr:cNvPr id="169" name="Group 34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GrpSpPr>
          <a:grpSpLocks/>
        </xdr:cNvGrpSpPr>
      </xdr:nvGrpSpPr>
      <xdr:grpSpPr bwMode="auto">
        <a:xfrm>
          <a:off x="8603568" y="6168813"/>
          <a:ext cx="1804520" cy="267601"/>
          <a:chOff x="5143500" y="4914900"/>
          <a:chExt cx="1295400" cy="228600"/>
        </a:xfrm>
      </xdr:grpSpPr>
      <xdr:cxnSp macro="">
        <xdr:nvCxnSpPr>
          <xdr:cNvPr id="170" name="Straight Connector 169">
            <a:extLst>
              <a:ext uri="{FF2B5EF4-FFF2-40B4-BE49-F238E27FC236}">
                <a16:creationId xmlns:a16="http://schemas.microsoft.com/office/drawing/2014/main" id="{00000000-0008-0000-0000-0000AA000000}"/>
              </a:ext>
            </a:extLst>
          </xdr:cNvPr>
          <xdr:cNvCxnSpPr/>
        </xdr:nvCxnSpPr>
        <xdr:spPr>
          <a:xfrm rot="5400000">
            <a:off x="50292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1" name="Straight Connector 170">
            <a:extLst>
              <a:ext uri="{FF2B5EF4-FFF2-40B4-BE49-F238E27FC236}">
                <a16:creationId xmlns:a16="http://schemas.microsoft.com/office/drawing/2014/main" id="{00000000-0008-0000-0000-0000AB000000}"/>
              </a:ext>
            </a:extLst>
          </xdr:cNvPr>
          <xdr:cNvCxnSpPr/>
        </xdr:nvCxnSpPr>
        <xdr:spPr>
          <a:xfrm rot="5400000">
            <a:off x="63246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00000000-0008-0000-0000-0000AC000000}"/>
              </a:ext>
            </a:extLst>
          </xdr:cNvPr>
          <xdr:cNvCxnSpPr/>
        </xdr:nvCxnSpPr>
        <xdr:spPr>
          <a:xfrm flipV="1">
            <a:off x="5143500" y="5124965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552450</xdr:colOff>
      <xdr:row>34</xdr:row>
      <xdr:rowOff>6350</xdr:rowOff>
    </xdr:from>
    <xdr:to>
      <xdr:col>18</xdr:col>
      <xdr:colOff>121380</xdr:colOff>
      <xdr:row>35</xdr:row>
      <xdr:rowOff>82550</xdr:rowOff>
    </xdr:to>
    <xdr:grpSp>
      <xdr:nvGrpSpPr>
        <xdr:cNvPr id="173" name="Group 34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GrpSpPr>
          <a:grpSpLocks/>
        </xdr:cNvGrpSpPr>
      </xdr:nvGrpSpPr>
      <xdr:grpSpPr bwMode="auto">
        <a:xfrm>
          <a:off x="11818097" y="6162115"/>
          <a:ext cx="1600930" cy="270435"/>
          <a:chOff x="5143500" y="4914900"/>
          <a:chExt cx="1295400" cy="228600"/>
        </a:xfrm>
      </xdr:grpSpPr>
      <xdr:cxnSp macro="">
        <xdr:nvCxnSpPr>
          <xdr:cNvPr id="174" name="Straight Connector 173">
            <a:extLst>
              <a:ext uri="{FF2B5EF4-FFF2-40B4-BE49-F238E27FC236}">
                <a16:creationId xmlns:a16="http://schemas.microsoft.com/office/drawing/2014/main" id="{00000000-0008-0000-0000-0000AE000000}"/>
              </a:ext>
            </a:extLst>
          </xdr:cNvPr>
          <xdr:cNvCxnSpPr/>
        </xdr:nvCxnSpPr>
        <xdr:spPr>
          <a:xfrm rot="5400000">
            <a:off x="50292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5" name="Straight Connector 174">
            <a:extLst>
              <a:ext uri="{FF2B5EF4-FFF2-40B4-BE49-F238E27FC236}">
                <a16:creationId xmlns:a16="http://schemas.microsoft.com/office/drawing/2014/main" id="{00000000-0008-0000-0000-0000AF000000}"/>
              </a:ext>
            </a:extLst>
          </xdr:cNvPr>
          <xdr:cNvCxnSpPr/>
        </xdr:nvCxnSpPr>
        <xdr:spPr>
          <a:xfrm rot="5400000">
            <a:off x="63246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6" name="Straight Connector 175">
            <a:extLst>
              <a:ext uri="{FF2B5EF4-FFF2-40B4-BE49-F238E27FC236}">
                <a16:creationId xmlns:a16="http://schemas.microsoft.com/office/drawing/2014/main" id="{00000000-0008-0000-0000-0000B0000000}"/>
              </a:ext>
            </a:extLst>
          </xdr:cNvPr>
          <xdr:cNvCxnSpPr/>
        </xdr:nvCxnSpPr>
        <xdr:spPr>
          <a:xfrm flipV="1">
            <a:off x="5143500" y="5124965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241300</xdr:colOff>
      <xdr:row>34</xdr:row>
      <xdr:rowOff>0</xdr:rowOff>
    </xdr:from>
    <xdr:to>
      <xdr:col>6</xdr:col>
      <xdr:colOff>260350</xdr:colOff>
      <xdr:row>35</xdr:row>
      <xdr:rowOff>76200</xdr:rowOff>
    </xdr:to>
    <xdr:grpSp>
      <xdr:nvGrpSpPr>
        <xdr:cNvPr id="177" name="Group 3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GrpSpPr>
          <a:grpSpLocks/>
        </xdr:cNvGrpSpPr>
      </xdr:nvGrpSpPr>
      <xdr:grpSpPr bwMode="auto">
        <a:xfrm rot="10800000">
          <a:off x="3423771" y="6155765"/>
          <a:ext cx="1348814" cy="270435"/>
          <a:chOff x="5143500" y="4914900"/>
          <a:chExt cx="1295400" cy="228600"/>
        </a:xfrm>
      </xdr:grpSpPr>
      <xdr:cxnSp macro="">
        <xdr:nvCxnSpPr>
          <xdr:cNvPr id="178" name="Straight Connector 177">
            <a:extLst>
              <a:ext uri="{FF2B5EF4-FFF2-40B4-BE49-F238E27FC236}">
                <a16:creationId xmlns:a16="http://schemas.microsoft.com/office/drawing/2014/main" id="{00000000-0008-0000-0000-0000B2000000}"/>
              </a:ext>
            </a:extLst>
          </xdr:cNvPr>
          <xdr:cNvCxnSpPr/>
        </xdr:nvCxnSpPr>
        <xdr:spPr>
          <a:xfrm rot="5400000">
            <a:off x="5067114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00000000-0008-0000-0000-0000B3000000}"/>
              </a:ext>
            </a:extLst>
          </xdr:cNvPr>
          <xdr:cNvCxnSpPr/>
        </xdr:nvCxnSpPr>
        <xdr:spPr>
          <a:xfrm rot="5400000">
            <a:off x="6362514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0" name="Straight Connector 179">
            <a:extLst>
              <a:ext uri="{FF2B5EF4-FFF2-40B4-BE49-F238E27FC236}">
                <a16:creationId xmlns:a16="http://schemas.microsoft.com/office/drawing/2014/main" id="{00000000-0008-0000-0000-0000B4000000}"/>
              </a:ext>
            </a:extLst>
          </xdr:cNvPr>
          <xdr:cNvCxnSpPr/>
        </xdr:nvCxnSpPr>
        <xdr:spPr>
          <a:xfrm flipV="1">
            <a:off x="5187733" y="5112608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19050</xdr:colOff>
      <xdr:row>34</xdr:row>
      <xdr:rowOff>6350</xdr:rowOff>
    </xdr:from>
    <xdr:to>
      <xdr:col>11</xdr:col>
      <xdr:colOff>120650</xdr:colOff>
      <xdr:row>35</xdr:row>
      <xdr:rowOff>76200</xdr:rowOff>
    </xdr:to>
    <xdr:grpSp>
      <xdr:nvGrpSpPr>
        <xdr:cNvPr id="181" name="Group 36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GrpSpPr>
          <a:grpSpLocks/>
        </xdr:cNvGrpSpPr>
      </xdr:nvGrpSpPr>
      <xdr:grpSpPr bwMode="auto">
        <a:xfrm rot="10800000">
          <a:off x="6906932" y="6162115"/>
          <a:ext cx="1730189" cy="264085"/>
          <a:chOff x="5143500" y="4914900"/>
          <a:chExt cx="1295400" cy="228600"/>
        </a:xfrm>
      </xdr:grpSpPr>
      <xdr:cxnSp macro="">
        <xdr:nvCxnSpPr>
          <xdr:cNvPr id="182" name="Straight Connector 181">
            <a:extLst>
              <a:ext uri="{FF2B5EF4-FFF2-40B4-BE49-F238E27FC236}">
                <a16:creationId xmlns:a16="http://schemas.microsoft.com/office/drawing/2014/main" id="{00000000-0008-0000-0000-0000B6000000}"/>
              </a:ext>
            </a:extLst>
          </xdr:cNvPr>
          <xdr:cNvCxnSpPr/>
        </xdr:nvCxnSpPr>
        <xdr:spPr>
          <a:xfrm rot="5400000">
            <a:off x="5064853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3" name="Straight Connector 182">
            <a:extLst>
              <a:ext uri="{FF2B5EF4-FFF2-40B4-BE49-F238E27FC236}">
                <a16:creationId xmlns:a16="http://schemas.microsoft.com/office/drawing/2014/main" id="{00000000-0008-0000-0000-0000B7000000}"/>
              </a:ext>
            </a:extLst>
          </xdr:cNvPr>
          <xdr:cNvCxnSpPr/>
        </xdr:nvCxnSpPr>
        <xdr:spPr>
          <a:xfrm rot="5400000">
            <a:off x="6366195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4" name="Straight Connector 183">
            <a:extLst>
              <a:ext uri="{FF2B5EF4-FFF2-40B4-BE49-F238E27FC236}">
                <a16:creationId xmlns:a16="http://schemas.microsoft.com/office/drawing/2014/main" id="{00000000-0008-0000-0000-0000B8000000}"/>
              </a:ext>
            </a:extLst>
          </xdr:cNvPr>
          <xdr:cNvCxnSpPr/>
        </xdr:nvCxnSpPr>
        <xdr:spPr>
          <a:xfrm flipV="1">
            <a:off x="5185095" y="5124450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455345</xdr:colOff>
      <xdr:row>34</xdr:row>
      <xdr:rowOff>1465</xdr:rowOff>
    </xdr:from>
    <xdr:to>
      <xdr:col>15</xdr:col>
      <xdr:colOff>547562</xdr:colOff>
      <xdr:row>35</xdr:row>
      <xdr:rowOff>73267</xdr:rowOff>
    </xdr:to>
    <xdr:grpSp>
      <xdr:nvGrpSpPr>
        <xdr:cNvPr id="185" name="Group 36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GrpSpPr>
          <a:grpSpLocks/>
        </xdr:cNvGrpSpPr>
      </xdr:nvGrpSpPr>
      <xdr:grpSpPr bwMode="auto">
        <a:xfrm rot="10800000">
          <a:off x="10376286" y="6157230"/>
          <a:ext cx="1436923" cy="266037"/>
          <a:chOff x="5186072" y="4901787"/>
          <a:chExt cx="1295400" cy="237342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0000000-0008-0000-0000-0000BA000000}"/>
              </a:ext>
            </a:extLst>
          </xdr:cNvPr>
          <xdr:cNvCxnSpPr/>
        </xdr:nvCxnSpPr>
        <xdr:spPr>
          <a:xfrm rot="5400000">
            <a:off x="5093916" y="5016087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7" name="Straight Connector 186">
            <a:extLst>
              <a:ext uri="{FF2B5EF4-FFF2-40B4-BE49-F238E27FC236}">
                <a16:creationId xmlns:a16="http://schemas.microsoft.com/office/drawing/2014/main" id="{00000000-0008-0000-0000-0000BB000000}"/>
              </a:ext>
            </a:extLst>
          </xdr:cNvPr>
          <xdr:cNvCxnSpPr/>
        </xdr:nvCxnSpPr>
        <xdr:spPr>
          <a:xfrm rot="5400000">
            <a:off x="6355007" y="5024829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8" name="Straight Connector 187">
            <a:extLst>
              <a:ext uri="{FF2B5EF4-FFF2-40B4-BE49-F238E27FC236}">
                <a16:creationId xmlns:a16="http://schemas.microsoft.com/office/drawing/2014/main" id="{00000000-0008-0000-0000-0000BC000000}"/>
              </a:ext>
            </a:extLst>
          </xdr:cNvPr>
          <xdr:cNvCxnSpPr/>
        </xdr:nvCxnSpPr>
        <xdr:spPr>
          <a:xfrm flipV="1">
            <a:off x="5186072" y="5124450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178100</xdr:colOff>
      <xdr:row>15</xdr:row>
      <xdr:rowOff>126317</xdr:rowOff>
    </xdr:from>
    <xdr:to>
      <xdr:col>3</xdr:col>
      <xdr:colOff>142524</xdr:colOff>
      <xdr:row>17</xdr:row>
      <xdr:rowOff>75514</xdr:rowOff>
    </xdr:to>
    <xdr:sp macro="" textlink="">
      <xdr:nvSpPr>
        <xdr:cNvPr id="194" name="TextBox 5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 txBox="1"/>
      </xdr:nvSpPr>
      <xdr:spPr bwMode="auto">
        <a:xfrm>
          <a:off x="787700" y="2902174"/>
          <a:ext cx="1183624" cy="319311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/>
            <a:t>5 Hour</a:t>
          </a:r>
          <a:r>
            <a:rPr lang="en-US" sz="1200" b="1" baseline="0"/>
            <a:t> </a:t>
          </a:r>
          <a:endParaRPr lang="en-US" sz="1200" b="1"/>
        </a:p>
      </xdr:txBody>
    </xdr:sp>
    <xdr:clientData/>
  </xdr:twoCellAnchor>
  <xdr:twoCellAnchor>
    <xdr:from>
      <xdr:col>0</xdr:col>
      <xdr:colOff>18083</xdr:colOff>
      <xdr:row>34</xdr:row>
      <xdr:rowOff>3012</xdr:rowOff>
    </xdr:from>
    <xdr:to>
      <xdr:col>1</xdr:col>
      <xdr:colOff>437736</xdr:colOff>
      <xdr:row>35</xdr:row>
      <xdr:rowOff>71782</xdr:rowOff>
    </xdr:to>
    <xdr:grpSp>
      <xdr:nvGrpSpPr>
        <xdr:cNvPr id="199" name="Group 34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GrpSpPr>
          <a:grpSpLocks/>
        </xdr:cNvGrpSpPr>
      </xdr:nvGrpSpPr>
      <xdr:grpSpPr bwMode="auto">
        <a:xfrm rot="10800000">
          <a:off x="18083" y="6158777"/>
          <a:ext cx="1301182" cy="263005"/>
          <a:chOff x="5143500" y="4914900"/>
          <a:chExt cx="1295400" cy="228600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00000000-0008-0000-0000-0000C8000000}"/>
              </a:ext>
            </a:extLst>
          </xdr:cNvPr>
          <xdr:cNvCxnSpPr/>
        </xdr:nvCxnSpPr>
        <xdr:spPr>
          <a:xfrm rot="5400000">
            <a:off x="50292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1" name="Straight Connector 200">
            <a:extLst>
              <a:ext uri="{FF2B5EF4-FFF2-40B4-BE49-F238E27FC236}">
                <a16:creationId xmlns:a16="http://schemas.microsoft.com/office/drawing/2014/main" id="{00000000-0008-0000-0000-0000C9000000}"/>
              </a:ext>
            </a:extLst>
          </xdr:cNvPr>
          <xdr:cNvCxnSpPr/>
        </xdr:nvCxnSpPr>
        <xdr:spPr>
          <a:xfrm rot="5400000">
            <a:off x="63246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2" name="Straight Connector 201">
            <a:extLst>
              <a:ext uri="{FF2B5EF4-FFF2-40B4-BE49-F238E27FC236}">
                <a16:creationId xmlns:a16="http://schemas.microsoft.com/office/drawing/2014/main" id="{00000000-0008-0000-0000-0000CA000000}"/>
              </a:ext>
            </a:extLst>
          </xdr:cNvPr>
          <xdr:cNvCxnSpPr/>
        </xdr:nvCxnSpPr>
        <xdr:spPr>
          <a:xfrm flipV="1">
            <a:off x="5143500" y="5124965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40105</xdr:colOff>
      <xdr:row>39</xdr:row>
      <xdr:rowOff>20052</xdr:rowOff>
    </xdr:from>
    <xdr:to>
      <xdr:col>31</xdr:col>
      <xdr:colOff>628650</xdr:colOff>
      <xdr:row>39</xdr:row>
      <xdr:rowOff>114300</xdr:rowOff>
    </xdr:to>
    <xdr:sp macro="" textlink="">
      <xdr:nvSpPr>
        <xdr:cNvPr id="203" name="Line 48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>
          <a:spLocks noChangeShapeType="1"/>
        </xdr:cNvSpPr>
      </xdr:nvSpPr>
      <xdr:spPr bwMode="auto">
        <a:xfrm>
          <a:off x="40105" y="7449552"/>
          <a:ext cx="25124945" cy="94248"/>
        </a:xfrm>
        <a:prstGeom prst="line">
          <a:avLst/>
        </a:prstGeom>
        <a:noFill/>
        <a:ln w="152400">
          <a:solidFill>
            <a:schemeClr val="bg2">
              <a:lumMod val="75000"/>
            </a:schemeClr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26973</xdr:colOff>
      <xdr:row>34</xdr:row>
      <xdr:rowOff>28331</xdr:rowOff>
    </xdr:from>
    <xdr:to>
      <xdr:col>22</xdr:col>
      <xdr:colOff>222531</xdr:colOff>
      <xdr:row>35</xdr:row>
      <xdr:rowOff>104531</xdr:rowOff>
    </xdr:to>
    <xdr:grpSp>
      <xdr:nvGrpSpPr>
        <xdr:cNvPr id="703" name="Group 34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GrpSpPr>
          <a:grpSpLocks/>
        </xdr:cNvGrpSpPr>
      </xdr:nvGrpSpPr>
      <xdr:grpSpPr bwMode="auto">
        <a:xfrm>
          <a:off x="15057797" y="6184096"/>
          <a:ext cx="1420734" cy="270435"/>
          <a:chOff x="5143500" y="4914900"/>
          <a:chExt cx="1295400" cy="228600"/>
        </a:xfrm>
      </xdr:grpSpPr>
      <xdr:cxnSp macro="">
        <xdr:nvCxnSpPr>
          <xdr:cNvPr id="704" name="Straight Connector 703">
            <a:extLst>
              <a:ext uri="{FF2B5EF4-FFF2-40B4-BE49-F238E27FC236}">
                <a16:creationId xmlns:a16="http://schemas.microsoft.com/office/drawing/2014/main" id="{00000000-0008-0000-0000-0000C0020000}"/>
              </a:ext>
            </a:extLst>
          </xdr:cNvPr>
          <xdr:cNvCxnSpPr/>
        </xdr:nvCxnSpPr>
        <xdr:spPr>
          <a:xfrm rot="5400000">
            <a:off x="50292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00000000-0008-0000-0000-0000C1020000}"/>
              </a:ext>
            </a:extLst>
          </xdr:cNvPr>
          <xdr:cNvCxnSpPr/>
        </xdr:nvCxnSpPr>
        <xdr:spPr>
          <a:xfrm rot="5400000">
            <a:off x="63246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06" name="Straight Connector 705">
            <a:extLst>
              <a:ext uri="{FF2B5EF4-FFF2-40B4-BE49-F238E27FC236}">
                <a16:creationId xmlns:a16="http://schemas.microsoft.com/office/drawing/2014/main" id="{00000000-0008-0000-0000-0000C2020000}"/>
              </a:ext>
            </a:extLst>
          </xdr:cNvPr>
          <xdr:cNvCxnSpPr/>
        </xdr:nvCxnSpPr>
        <xdr:spPr>
          <a:xfrm flipV="1">
            <a:off x="5143500" y="5124965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224118</xdr:colOff>
      <xdr:row>5</xdr:row>
      <xdr:rowOff>104593</xdr:rowOff>
    </xdr:from>
    <xdr:to>
      <xdr:col>16</xdr:col>
      <xdr:colOff>388473</xdr:colOff>
      <xdr:row>23</xdr:row>
      <xdr:rowOff>33616</xdr:rowOff>
    </xdr:to>
    <xdr:sp macro="" textlink="">
      <xdr:nvSpPr>
        <xdr:cNvPr id="317" name="Line 30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>
          <a:spLocks noChangeShapeType="1"/>
        </xdr:cNvSpPr>
      </xdr:nvSpPr>
      <xdr:spPr bwMode="auto">
        <a:xfrm rot="-5400000" flipH="1" flipV="1">
          <a:off x="8975916" y="732119"/>
          <a:ext cx="3156317" cy="3694208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493057</xdr:colOff>
      <xdr:row>5</xdr:row>
      <xdr:rowOff>90213</xdr:rowOff>
    </xdr:from>
    <xdr:to>
      <xdr:col>16</xdr:col>
      <xdr:colOff>460925</xdr:colOff>
      <xdr:row>23</xdr:row>
      <xdr:rowOff>11206</xdr:rowOff>
    </xdr:to>
    <xdr:sp macro="" textlink="">
      <xdr:nvSpPr>
        <xdr:cNvPr id="318" name="Line 30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>
          <a:spLocks noChangeShapeType="1"/>
        </xdr:cNvSpPr>
      </xdr:nvSpPr>
      <xdr:spPr bwMode="auto">
        <a:xfrm rot="16200000" flipH="1" flipV="1">
          <a:off x="7643436" y="-695224"/>
          <a:ext cx="3148287" cy="6512103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728382</xdr:colOff>
      <xdr:row>5</xdr:row>
      <xdr:rowOff>111185</xdr:rowOff>
    </xdr:from>
    <xdr:to>
      <xdr:col>16</xdr:col>
      <xdr:colOff>419507</xdr:colOff>
      <xdr:row>22</xdr:row>
      <xdr:rowOff>89650</xdr:rowOff>
    </xdr:to>
    <xdr:sp macro="" textlink="">
      <xdr:nvSpPr>
        <xdr:cNvPr id="324" name="Line 30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>
          <a:spLocks noChangeShapeType="1"/>
        </xdr:cNvSpPr>
      </xdr:nvSpPr>
      <xdr:spPr bwMode="auto">
        <a:xfrm rot="16200000" flipH="1" flipV="1">
          <a:off x="10305815" y="1907723"/>
          <a:ext cx="3026465" cy="1226331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385011</xdr:colOff>
      <xdr:row>15</xdr:row>
      <xdr:rowOff>128336</xdr:rowOff>
    </xdr:from>
    <xdr:to>
      <xdr:col>35</xdr:col>
      <xdr:colOff>288757</xdr:colOff>
      <xdr:row>20</xdr:row>
      <xdr:rowOff>112293</xdr:rowOff>
    </xdr:to>
    <xdr:sp macro="" textlink="">
      <xdr:nvSpPr>
        <xdr:cNvPr id="325" name="Line 48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>
          <a:spLocks noChangeShapeType="1"/>
        </xdr:cNvSpPr>
      </xdr:nvSpPr>
      <xdr:spPr bwMode="auto">
        <a:xfrm flipV="1">
          <a:off x="28282232" y="2895599"/>
          <a:ext cx="898357" cy="906378"/>
        </a:xfrm>
        <a:prstGeom prst="line">
          <a:avLst/>
        </a:prstGeom>
        <a:noFill/>
        <a:ln w="152400">
          <a:solidFill>
            <a:srgbClr val="000000"/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83004</xdr:colOff>
      <xdr:row>3</xdr:row>
      <xdr:rowOff>174172</xdr:rowOff>
    </xdr:from>
    <xdr:to>
      <xdr:col>6</xdr:col>
      <xdr:colOff>363039</xdr:colOff>
      <xdr:row>5</xdr:row>
      <xdr:rowOff>91263</xdr:rowOff>
    </xdr:to>
    <xdr:sp macro="" textlink="">
      <xdr:nvSpPr>
        <xdr:cNvPr id="326" name="TextBox 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 txBox="1"/>
      </xdr:nvSpPr>
      <xdr:spPr bwMode="auto">
        <a:xfrm>
          <a:off x="2521404" y="717097"/>
          <a:ext cx="1499235" cy="279041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200" b="1"/>
        </a:p>
      </xdr:txBody>
    </xdr:sp>
    <xdr:clientData/>
  </xdr:twoCellAnchor>
  <xdr:twoCellAnchor>
    <xdr:from>
      <xdr:col>12</xdr:col>
      <xdr:colOff>88232</xdr:colOff>
      <xdr:row>27</xdr:row>
      <xdr:rowOff>112295</xdr:rowOff>
    </xdr:from>
    <xdr:to>
      <xdr:col>13</xdr:col>
      <xdr:colOff>601579</xdr:colOff>
      <xdr:row>27</xdr:row>
      <xdr:rowOff>112296</xdr:rowOff>
    </xdr:to>
    <xdr:sp macro="" textlink="">
      <xdr:nvSpPr>
        <xdr:cNvPr id="357" name="Line 48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>
          <a:spLocks noChangeShapeType="1"/>
        </xdr:cNvSpPr>
      </xdr:nvSpPr>
      <xdr:spPr bwMode="auto">
        <a:xfrm>
          <a:off x="9376611" y="5101390"/>
          <a:ext cx="1122947" cy="1"/>
        </a:xfrm>
        <a:prstGeom prst="line">
          <a:avLst/>
        </a:prstGeom>
        <a:noFill/>
        <a:ln w="152400">
          <a:solidFill>
            <a:srgbClr val="000000"/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333706</xdr:colOff>
      <xdr:row>22</xdr:row>
      <xdr:rowOff>15103</xdr:rowOff>
    </xdr:from>
    <xdr:to>
      <xdr:col>29</xdr:col>
      <xdr:colOff>512138</xdr:colOff>
      <xdr:row>25</xdr:row>
      <xdr:rowOff>23565</xdr:rowOff>
    </xdr:to>
    <xdr:pic>
      <xdr:nvPicPr>
        <xdr:cNvPr id="359" name="Picture 5" descr="VSM-Icons_Inventory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35" t="5746" r="9735" b="3448"/>
        <a:stretch>
          <a:fillRect/>
        </a:stretch>
      </xdr:blipFill>
      <xdr:spPr bwMode="auto">
        <a:xfrm>
          <a:off x="21681706" y="3975103"/>
          <a:ext cx="862432" cy="5484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323850</xdr:colOff>
      <xdr:row>18</xdr:row>
      <xdr:rowOff>133350</xdr:rowOff>
    </xdr:from>
    <xdr:to>
      <xdr:col>24</xdr:col>
      <xdr:colOff>259699</xdr:colOff>
      <xdr:row>20</xdr:row>
      <xdr:rowOff>82547</xdr:rowOff>
    </xdr:to>
    <xdr:sp macro="" textlink="">
      <xdr:nvSpPr>
        <xdr:cNvPr id="360" name="TextBox 5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 txBox="1"/>
      </xdr:nvSpPr>
      <xdr:spPr bwMode="auto">
        <a:xfrm>
          <a:off x="13706475" y="3390900"/>
          <a:ext cx="1155049" cy="311147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200" b="1"/>
        </a:p>
      </xdr:txBody>
    </xdr:sp>
    <xdr:clientData/>
  </xdr:twoCellAnchor>
  <xdr:twoCellAnchor>
    <xdr:from>
      <xdr:col>22</xdr:col>
      <xdr:colOff>229274</xdr:colOff>
      <xdr:row>34</xdr:row>
      <xdr:rowOff>20053</xdr:rowOff>
    </xdr:from>
    <xdr:to>
      <xdr:col>24</xdr:col>
      <xdr:colOff>210552</xdr:colOff>
      <xdr:row>34</xdr:row>
      <xdr:rowOff>26973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A05B56ED-2F07-44D3-860C-C35643A5D4E3}"/>
            </a:ext>
          </a:extLst>
        </xdr:cNvPr>
        <xdr:cNvCxnSpPr/>
      </xdr:nvCxnSpPr>
      <xdr:spPr>
        <a:xfrm flipH="1">
          <a:off x="16433575" y="6237434"/>
          <a:ext cx="1855933" cy="692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64169</xdr:colOff>
      <xdr:row>27</xdr:row>
      <xdr:rowOff>96252</xdr:rowOff>
    </xdr:from>
    <xdr:to>
      <xdr:col>21</xdr:col>
      <xdr:colOff>553453</xdr:colOff>
      <xdr:row>27</xdr:row>
      <xdr:rowOff>104272</xdr:rowOff>
    </xdr:to>
    <xdr:sp macro="" textlink="">
      <xdr:nvSpPr>
        <xdr:cNvPr id="126" name="Line 48">
          <a:extLst>
            <a:ext uri="{FF2B5EF4-FFF2-40B4-BE49-F238E27FC236}">
              <a16:creationId xmlns:a16="http://schemas.microsoft.com/office/drawing/2014/main" id="{D35719D8-FA54-4DDE-B040-A81E34F58037}"/>
            </a:ext>
          </a:extLst>
        </xdr:cNvPr>
        <xdr:cNvSpPr>
          <a:spLocks noChangeShapeType="1"/>
        </xdr:cNvSpPr>
      </xdr:nvSpPr>
      <xdr:spPr bwMode="auto">
        <a:xfrm>
          <a:off x="15199895" y="5085347"/>
          <a:ext cx="1098884" cy="8020"/>
        </a:xfrm>
        <a:prstGeom prst="line">
          <a:avLst/>
        </a:prstGeom>
        <a:noFill/>
        <a:ln w="152400">
          <a:solidFill>
            <a:srgbClr val="000000"/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32085</xdr:colOff>
      <xdr:row>27</xdr:row>
      <xdr:rowOff>96252</xdr:rowOff>
    </xdr:from>
    <xdr:to>
      <xdr:col>26</xdr:col>
      <xdr:colOff>0</xdr:colOff>
      <xdr:row>27</xdr:row>
      <xdr:rowOff>96252</xdr:rowOff>
    </xdr:to>
    <xdr:sp macro="" textlink="">
      <xdr:nvSpPr>
        <xdr:cNvPr id="127" name="Line 48">
          <a:extLst>
            <a:ext uri="{FF2B5EF4-FFF2-40B4-BE49-F238E27FC236}">
              <a16:creationId xmlns:a16="http://schemas.microsoft.com/office/drawing/2014/main" id="{B4073264-7673-4DF1-BD5F-2DF5888F7096}"/>
            </a:ext>
          </a:extLst>
        </xdr:cNvPr>
        <xdr:cNvSpPr>
          <a:spLocks noChangeShapeType="1"/>
        </xdr:cNvSpPr>
      </xdr:nvSpPr>
      <xdr:spPr bwMode="auto">
        <a:xfrm>
          <a:off x="18263938" y="5085347"/>
          <a:ext cx="1515978" cy="0"/>
        </a:xfrm>
        <a:prstGeom prst="line">
          <a:avLst/>
        </a:prstGeom>
        <a:noFill/>
        <a:ln w="152400">
          <a:solidFill>
            <a:srgbClr val="000000"/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250568</xdr:colOff>
      <xdr:row>27</xdr:row>
      <xdr:rowOff>89430</xdr:rowOff>
    </xdr:from>
    <xdr:to>
      <xdr:col>29</xdr:col>
      <xdr:colOff>978569</xdr:colOff>
      <xdr:row>27</xdr:row>
      <xdr:rowOff>104272</xdr:rowOff>
    </xdr:to>
    <xdr:sp macro="" textlink="">
      <xdr:nvSpPr>
        <xdr:cNvPr id="128" name="Line 48">
          <a:extLst>
            <a:ext uri="{FF2B5EF4-FFF2-40B4-BE49-F238E27FC236}">
              <a16:creationId xmlns:a16="http://schemas.microsoft.com/office/drawing/2014/main" id="{C205E1E3-79E6-4EF9-BD88-A0C6979E6650}"/>
            </a:ext>
          </a:extLst>
        </xdr:cNvPr>
        <xdr:cNvSpPr>
          <a:spLocks noChangeShapeType="1"/>
        </xdr:cNvSpPr>
      </xdr:nvSpPr>
      <xdr:spPr bwMode="auto">
        <a:xfrm>
          <a:off x="21570526" y="5078525"/>
          <a:ext cx="1417811" cy="14842"/>
        </a:xfrm>
        <a:prstGeom prst="line">
          <a:avLst/>
        </a:prstGeom>
        <a:noFill/>
        <a:ln w="152400">
          <a:solidFill>
            <a:srgbClr val="000000"/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230605</xdr:colOff>
      <xdr:row>34</xdr:row>
      <xdr:rowOff>1</xdr:rowOff>
    </xdr:from>
    <xdr:to>
      <xdr:col>24</xdr:col>
      <xdr:colOff>230605</xdr:colOff>
      <xdr:row>35</xdr:row>
      <xdr:rowOff>76201</xdr:rowOff>
    </xdr:to>
    <xdr:cxnSp macro="">
      <xdr:nvCxnSpPr>
        <xdr:cNvPr id="130" name="Straight Connector 129">
          <a:extLst>
            <a:ext uri="{FF2B5EF4-FFF2-40B4-BE49-F238E27FC236}">
              <a16:creationId xmlns:a16="http://schemas.microsoft.com/office/drawing/2014/main" id="{07676C6F-3727-41B5-84C5-7C06BF1B864E}"/>
            </a:ext>
          </a:extLst>
        </xdr:cNvPr>
        <xdr:cNvCxnSpPr/>
      </xdr:nvCxnSpPr>
      <xdr:spPr bwMode="auto">
        <a:xfrm rot="5400000">
          <a:off x="18340136" y="6304549"/>
          <a:ext cx="276727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906965</xdr:colOff>
      <xdr:row>34</xdr:row>
      <xdr:rowOff>2182</xdr:rowOff>
    </xdr:from>
    <xdr:to>
      <xdr:col>25</xdr:col>
      <xdr:colOff>906965</xdr:colOff>
      <xdr:row>35</xdr:row>
      <xdr:rowOff>82393</xdr:rowOff>
    </xdr:to>
    <xdr:cxnSp macro="">
      <xdr:nvCxnSpPr>
        <xdr:cNvPr id="131" name="Straight Connector 130">
          <a:extLst>
            <a:ext uri="{FF2B5EF4-FFF2-40B4-BE49-F238E27FC236}">
              <a16:creationId xmlns:a16="http://schemas.microsoft.com/office/drawing/2014/main" id="{CAD1AE89-2890-4908-A558-90CB1D7ADF4A}"/>
            </a:ext>
          </a:extLst>
        </xdr:cNvPr>
        <xdr:cNvCxnSpPr/>
      </xdr:nvCxnSpPr>
      <xdr:spPr bwMode="auto">
        <a:xfrm rot="5400000">
          <a:off x="19608049" y="6439077"/>
          <a:ext cx="280738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230605</xdr:colOff>
      <xdr:row>34</xdr:row>
      <xdr:rowOff>200526</xdr:rowOff>
    </xdr:from>
    <xdr:to>
      <xdr:col>25</xdr:col>
      <xdr:colOff>898358</xdr:colOff>
      <xdr:row>35</xdr:row>
      <xdr:rowOff>96252</xdr:rowOff>
    </xdr:to>
    <xdr:grpSp>
      <xdr:nvGrpSpPr>
        <xdr:cNvPr id="132" name="Group 34">
          <a:extLst>
            <a:ext uri="{FF2B5EF4-FFF2-40B4-BE49-F238E27FC236}">
              <a16:creationId xmlns:a16="http://schemas.microsoft.com/office/drawing/2014/main" id="{FB633B40-16E5-4DC5-A415-1A028A3D2F0A}"/>
            </a:ext>
          </a:extLst>
        </xdr:cNvPr>
        <xdr:cNvGrpSpPr>
          <a:grpSpLocks/>
        </xdr:cNvGrpSpPr>
      </xdr:nvGrpSpPr>
      <xdr:grpSpPr bwMode="auto">
        <a:xfrm>
          <a:off x="18354252" y="6356291"/>
          <a:ext cx="1280341" cy="89961"/>
          <a:chOff x="5143500" y="4914900"/>
          <a:chExt cx="1295400" cy="228600"/>
        </a:xfrm>
      </xdr:grpSpPr>
      <xdr:cxnSp macro="">
        <xdr:nvCxnSpPr>
          <xdr:cNvPr id="133" name="Straight Connector 132">
            <a:extLst>
              <a:ext uri="{FF2B5EF4-FFF2-40B4-BE49-F238E27FC236}">
                <a16:creationId xmlns:a16="http://schemas.microsoft.com/office/drawing/2014/main" id="{181E7BF5-6719-5964-646D-8ADC092B4009}"/>
              </a:ext>
            </a:extLst>
          </xdr:cNvPr>
          <xdr:cNvCxnSpPr/>
        </xdr:nvCxnSpPr>
        <xdr:spPr>
          <a:xfrm rot="5400000">
            <a:off x="50292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" name="Straight Connector 133">
            <a:extLst>
              <a:ext uri="{FF2B5EF4-FFF2-40B4-BE49-F238E27FC236}">
                <a16:creationId xmlns:a16="http://schemas.microsoft.com/office/drawing/2014/main" id="{81BBB574-C53F-A7C2-4CF1-F685CC827F2B}"/>
              </a:ext>
            </a:extLst>
          </xdr:cNvPr>
          <xdr:cNvCxnSpPr/>
        </xdr:nvCxnSpPr>
        <xdr:spPr>
          <a:xfrm rot="5400000">
            <a:off x="63246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5" name="Straight Connector 134">
            <a:extLst>
              <a:ext uri="{FF2B5EF4-FFF2-40B4-BE49-F238E27FC236}">
                <a16:creationId xmlns:a16="http://schemas.microsoft.com/office/drawing/2014/main" id="{C781DA58-103E-6901-8D3E-389A43C8A7B3}"/>
              </a:ext>
            </a:extLst>
          </xdr:cNvPr>
          <xdr:cNvCxnSpPr/>
        </xdr:nvCxnSpPr>
        <xdr:spPr>
          <a:xfrm flipV="1">
            <a:off x="5143500" y="5124965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27</xdr:col>
      <xdr:colOff>465221</xdr:colOff>
      <xdr:row>34</xdr:row>
      <xdr:rowOff>16045</xdr:rowOff>
    </xdr:from>
    <xdr:to>
      <xdr:col>27</xdr:col>
      <xdr:colOff>467032</xdr:colOff>
      <xdr:row>35</xdr:row>
      <xdr:rowOff>59813</xdr:rowOff>
    </xdr:to>
    <xdr:cxnSp macro="">
      <xdr:nvCxnSpPr>
        <xdr:cNvPr id="136" name="Straight Connector 135">
          <a:extLst>
            <a:ext uri="{FF2B5EF4-FFF2-40B4-BE49-F238E27FC236}">
              <a16:creationId xmlns:a16="http://schemas.microsoft.com/office/drawing/2014/main" id="{521D85A7-E332-4F35-999B-7BDC451918DF}"/>
            </a:ext>
          </a:extLst>
        </xdr:cNvPr>
        <xdr:cNvCxnSpPr/>
      </xdr:nvCxnSpPr>
      <xdr:spPr bwMode="auto">
        <a:xfrm>
          <a:off x="21167558" y="6312571"/>
          <a:ext cx="1811" cy="24429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119222</xdr:colOff>
      <xdr:row>34</xdr:row>
      <xdr:rowOff>16560</xdr:rowOff>
    </xdr:from>
    <xdr:to>
      <xdr:col>29</xdr:col>
      <xdr:colOff>119222</xdr:colOff>
      <xdr:row>35</xdr:row>
      <xdr:rowOff>92760</xdr:rowOff>
    </xdr:to>
    <xdr:cxnSp macro="">
      <xdr:nvCxnSpPr>
        <xdr:cNvPr id="137" name="Straight Connector 136">
          <a:extLst>
            <a:ext uri="{FF2B5EF4-FFF2-40B4-BE49-F238E27FC236}">
              <a16:creationId xmlns:a16="http://schemas.microsoft.com/office/drawing/2014/main" id="{2C8D5CB5-C5D5-4505-A0A7-6CCC1CA37A74}"/>
            </a:ext>
          </a:extLst>
        </xdr:cNvPr>
        <xdr:cNvCxnSpPr/>
      </xdr:nvCxnSpPr>
      <xdr:spPr bwMode="auto">
        <a:xfrm rot="5400000">
          <a:off x="22126984" y="6451450"/>
          <a:ext cx="276727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458839</xdr:colOff>
      <xdr:row>35</xdr:row>
      <xdr:rowOff>24581</xdr:rowOff>
    </xdr:from>
    <xdr:to>
      <xdr:col>29</xdr:col>
      <xdr:colOff>122903</xdr:colOff>
      <xdr:row>35</xdr:row>
      <xdr:rowOff>70300</xdr:rowOff>
    </xdr:to>
    <xdr:grpSp>
      <xdr:nvGrpSpPr>
        <xdr:cNvPr id="138" name="Group 34">
          <a:extLst>
            <a:ext uri="{FF2B5EF4-FFF2-40B4-BE49-F238E27FC236}">
              <a16:creationId xmlns:a16="http://schemas.microsoft.com/office/drawing/2014/main" id="{60D3BC99-4DD5-431D-9F81-1A619CF10F2C}"/>
            </a:ext>
          </a:extLst>
        </xdr:cNvPr>
        <xdr:cNvGrpSpPr>
          <a:grpSpLocks/>
        </xdr:cNvGrpSpPr>
      </xdr:nvGrpSpPr>
      <xdr:grpSpPr bwMode="auto">
        <a:xfrm>
          <a:off x="21062721" y="6374581"/>
          <a:ext cx="1098417" cy="45719"/>
          <a:chOff x="5143500" y="4914900"/>
          <a:chExt cx="1295400" cy="228600"/>
        </a:xfrm>
      </xdr:grpSpPr>
      <xdr:cxnSp macro="">
        <xdr:nvCxnSpPr>
          <xdr:cNvPr id="141" name="Straight Connector 140">
            <a:extLst>
              <a:ext uri="{FF2B5EF4-FFF2-40B4-BE49-F238E27FC236}">
                <a16:creationId xmlns:a16="http://schemas.microsoft.com/office/drawing/2014/main" id="{FBC87EF6-97BA-2B4A-D18A-CBD8A0F66D1B}"/>
              </a:ext>
            </a:extLst>
          </xdr:cNvPr>
          <xdr:cNvCxnSpPr/>
        </xdr:nvCxnSpPr>
        <xdr:spPr>
          <a:xfrm rot="5400000">
            <a:off x="50292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2" name="Straight Connector 141">
            <a:extLst>
              <a:ext uri="{FF2B5EF4-FFF2-40B4-BE49-F238E27FC236}">
                <a16:creationId xmlns:a16="http://schemas.microsoft.com/office/drawing/2014/main" id="{8963F976-6A16-6237-3083-4D242F06343D}"/>
              </a:ext>
            </a:extLst>
          </xdr:cNvPr>
          <xdr:cNvCxnSpPr/>
        </xdr:nvCxnSpPr>
        <xdr:spPr>
          <a:xfrm rot="5400000">
            <a:off x="63246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3" name="Straight Connector 142">
            <a:extLst>
              <a:ext uri="{FF2B5EF4-FFF2-40B4-BE49-F238E27FC236}">
                <a16:creationId xmlns:a16="http://schemas.microsoft.com/office/drawing/2014/main" id="{344B72C0-42D5-54B3-33E2-6A2DB5D23B3B}"/>
              </a:ext>
            </a:extLst>
          </xdr:cNvPr>
          <xdr:cNvCxnSpPr/>
        </xdr:nvCxnSpPr>
        <xdr:spPr>
          <a:xfrm flipV="1">
            <a:off x="5143500" y="5124965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922421</xdr:colOff>
      <xdr:row>34</xdr:row>
      <xdr:rowOff>8021</xdr:rowOff>
    </xdr:from>
    <xdr:to>
      <xdr:col>27</xdr:col>
      <xdr:colOff>481263</xdr:colOff>
      <xdr:row>34</xdr:row>
      <xdr:rowOff>16042</xdr:rowOff>
    </xdr:to>
    <xdr:cxnSp macro="">
      <xdr:nvCxnSpPr>
        <xdr:cNvPr id="156" name="Straight Connector 155">
          <a:extLst>
            <a:ext uri="{FF2B5EF4-FFF2-40B4-BE49-F238E27FC236}">
              <a16:creationId xmlns:a16="http://schemas.microsoft.com/office/drawing/2014/main" id="{86BECF16-DAE2-454E-BD1A-061D9A0333D7}"/>
            </a:ext>
          </a:extLst>
        </xdr:cNvPr>
        <xdr:cNvCxnSpPr/>
      </xdr:nvCxnSpPr>
      <xdr:spPr>
        <a:xfrm flipH="1" flipV="1">
          <a:off x="19763874" y="6304547"/>
          <a:ext cx="1419726" cy="8021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122904</xdr:colOff>
      <xdr:row>34</xdr:row>
      <xdr:rowOff>8021</xdr:rowOff>
    </xdr:from>
    <xdr:to>
      <xdr:col>30</xdr:col>
      <xdr:colOff>657727</xdr:colOff>
      <xdr:row>34</xdr:row>
      <xdr:rowOff>8194</xdr:rowOff>
    </xdr:to>
    <xdr:cxnSp macro="">
      <xdr:nvCxnSpPr>
        <xdr:cNvPr id="192" name="Straight Connector 191">
          <a:extLst>
            <a:ext uri="{FF2B5EF4-FFF2-40B4-BE49-F238E27FC236}">
              <a16:creationId xmlns:a16="http://schemas.microsoft.com/office/drawing/2014/main" id="{AFE465CC-CB01-4F6E-904E-56BC1EF6A92E}"/>
            </a:ext>
          </a:extLst>
        </xdr:cNvPr>
        <xdr:cNvCxnSpPr/>
      </xdr:nvCxnSpPr>
      <xdr:spPr>
        <a:xfrm flipH="1">
          <a:off x="22269030" y="6304547"/>
          <a:ext cx="1144423" cy="17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211024</xdr:colOff>
      <xdr:row>24</xdr:row>
      <xdr:rowOff>124047</xdr:rowOff>
    </xdr:from>
    <xdr:to>
      <xdr:col>33</xdr:col>
      <xdr:colOff>540489</xdr:colOff>
      <xdr:row>27</xdr:row>
      <xdr:rowOff>88957</xdr:rowOff>
    </xdr:to>
    <xdr:sp macro="" textlink="">
      <xdr:nvSpPr>
        <xdr:cNvPr id="217" name="Line 48">
          <a:extLst>
            <a:ext uri="{FF2B5EF4-FFF2-40B4-BE49-F238E27FC236}">
              <a16:creationId xmlns:a16="http://schemas.microsoft.com/office/drawing/2014/main" id="{27D1D2EA-7226-49B0-B90F-37F4C96C7F9D}"/>
            </a:ext>
          </a:extLst>
        </xdr:cNvPr>
        <xdr:cNvSpPr>
          <a:spLocks noChangeShapeType="1"/>
        </xdr:cNvSpPr>
      </xdr:nvSpPr>
      <xdr:spPr bwMode="auto">
        <a:xfrm flipV="1">
          <a:off x="25569675" y="4589721"/>
          <a:ext cx="1401581" cy="531980"/>
        </a:xfrm>
        <a:prstGeom prst="line">
          <a:avLst/>
        </a:prstGeom>
        <a:noFill/>
        <a:ln w="152400">
          <a:solidFill>
            <a:srgbClr val="000000"/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647204</xdr:colOff>
      <xdr:row>33</xdr:row>
      <xdr:rowOff>176464</xdr:rowOff>
    </xdr:from>
    <xdr:to>
      <xdr:col>30</xdr:col>
      <xdr:colOff>647204</xdr:colOff>
      <xdr:row>35</xdr:row>
      <xdr:rowOff>68179</xdr:rowOff>
    </xdr:to>
    <xdr:cxnSp macro="">
      <xdr:nvCxnSpPr>
        <xdr:cNvPr id="222" name="Straight Connector 221">
          <a:extLst>
            <a:ext uri="{FF2B5EF4-FFF2-40B4-BE49-F238E27FC236}">
              <a16:creationId xmlns:a16="http://schemas.microsoft.com/office/drawing/2014/main" id="{1CD9F108-6F96-48BE-AFBB-FC9DB6F77D7A}"/>
            </a:ext>
          </a:extLst>
        </xdr:cNvPr>
        <xdr:cNvCxnSpPr/>
      </xdr:nvCxnSpPr>
      <xdr:spPr bwMode="auto">
        <a:xfrm rot="5400000">
          <a:off x="23264567" y="6426869"/>
          <a:ext cx="27672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641686</xdr:colOff>
      <xdr:row>35</xdr:row>
      <xdr:rowOff>0</xdr:rowOff>
    </xdr:from>
    <xdr:to>
      <xdr:col>32</xdr:col>
      <xdr:colOff>8194</xdr:colOff>
      <xdr:row>35</xdr:row>
      <xdr:rowOff>72189</xdr:rowOff>
    </xdr:to>
    <xdr:grpSp>
      <xdr:nvGrpSpPr>
        <xdr:cNvPr id="223" name="Group 34">
          <a:extLst>
            <a:ext uri="{FF2B5EF4-FFF2-40B4-BE49-F238E27FC236}">
              <a16:creationId xmlns:a16="http://schemas.microsoft.com/office/drawing/2014/main" id="{D6D0C258-BDF5-4E4E-800A-1A5FBC232CCC}"/>
            </a:ext>
          </a:extLst>
        </xdr:cNvPr>
        <xdr:cNvGrpSpPr>
          <a:grpSpLocks/>
        </xdr:cNvGrpSpPr>
      </xdr:nvGrpSpPr>
      <xdr:grpSpPr bwMode="auto">
        <a:xfrm>
          <a:off x="23785568" y="6350000"/>
          <a:ext cx="1622626" cy="72189"/>
          <a:chOff x="5143500" y="4914900"/>
          <a:chExt cx="1295400" cy="228600"/>
        </a:xfrm>
      </xdr:grpSpPr>
      <xdr:cxnSp macro="">
        <xdr:nvCxnSpPr>
          <xdr:cNvPr id="224" name="Straight Connector 223">
            <a:extLst>
              <a:ext uri="{FF2B5EF4-FFF2-40B4-BE49-F238E27FC236}">
                <a16:creationId xmlns:a16="http://schemas.microsoft.com/office/drawing/2014/main" id="{CA84A1D6-2A7C-E2C5-4562-E8390A6682F7}"/>
              </a:ext>
            </a:extLst>
          </xdr:cNvPr>
          <xdr:cNvCxnSpPr/>
        </xdr:nvCxnSpPr>
        <xdr:spPr>
          <a:xfrm rot="5400000">
            <a:off x="50292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5" name="Straight Connector 224">
            <a:extLst>
              <a:ext uri="{FF2B5EF4-FFF2-40B4-BE49-F238E27FC236}">
                <a16:creationId xmlns:a16="http://schemas.microsoft.com/office/drawing/2014/main" id="{842DB773-4890-B035-3137-7B098DD55D40}"/>
              </a:ext>
            </a:extLst>
          </xdr:cNvPr>
          <xdr:cNvCxnSpPr/>
        </xdr:nvCxnSpPr>
        <xdr:spPr>
          <a:xfrm rot="5400000">
            <a:off x="63246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6" name="Straight Connector 225">
            <a:extLst>
              <a:ext uri="{FF2B5EF4-FFF2-40B4-BE49-F238E27FC236}">
                <a16:creationId xmlns:a16="http://schemas.microsoft.com/office/drawing/2014/main" id="{9A2C824C-AFC4-C165-6B84-1C0954140A12}"/>
              </a:ext>
            </a:extLst>
          </xdr:cNvPr>
          <xdr:cNvCxnSpPr/>
        </xdr:nvCxnSpPr>
        <xdr:spPr>
          <a:xfrm flipV="1">
            <a:off x="5143500" y="5124965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17</xdr:col>
      <xdr:colOff>432913</xdr:colOff>
      <xdr:row>3</xdr:row>
      <xdr:rowOff>174558</xdr:rowOff>
    </xdr:from>
    <xdr:to>
      <xdr:col>34</xdr:col>
      <xdr:colOff>466212</xdr:colOff>
      <xdr:row>7</xdr:row>
      <xdr:rowOff>148994</xdr:rowOff>
    </xdr:to>
    <xdr:sp macro="" textlink="">
      <xdr:nvSpPr>
        <xdr:cNvPr id="234" name="Freeform 31">
          <a:extLst>
            <a:ext uri="{FF2B5EF4-FFF2-40B4-BE49-F238E27FC236}">
              <a16:creationId xmlns:a16="http://schemas.microsoft.com/office/drawing/2014/main" id="{5CFCD11D-CE0E-427A-9170-750BD51467CB}"/>
            </a:ext>
          </a:extLst>
        </xdr:cNvPr>
        <xdr:cNvSpPr>
          <a:spLocks/>
        </xdr:cNvSpPr>
      </xdr:nvSpPr>
      <xdr:spPr bwMode="auto">
        <a:xfrm rot="16472251" flipH="1" flipV="1">
          <a:off x="20370598" y="-6552453"/>
          <a:ext cx="712372" cy="15273299"/>
        </a:xfrm>
        <a:custGeom>
          <a:avLst/>
          <a:gdLst>
            <a:gd name="T0" fmla="*/ 2147483646 w 21"/>
            <a:gd name="T1" fmla="*/ 0 h 347"/>
            <a:gd name="T2" fmla="*/ 0 w 21"/>
            <a:gd name="T3" fmla="*/ 2147483646 h 347"/>
            <a:gd name="T4" fmla="*/ 2147483646 w 21"/>
            <a:gd name="T5" fmla="*/ 2147483646 h 347"/>
            <a:gd name="T6" fmla="*/ 2147483646 w 21"/>
            <a:gd name="T7" fmla="*/ 2147483646 h 347"/>
            <a:gd name="T8" fmla="*/ 0 60000 65536"/>
            <a:gd name="T9" fmla="*/ 0 60000 65536"/>
            <a:gd name="T10" fmla="*/ 0 60000 65536"/>
            <a:gd name="T11" fmla="*/ 0 60000 65536"/>
            <a:gd name="T12" fmla="*/ 0 w 21"/>
            <a:gd name="T13" fmla="*/ 0 h 347"/>
            <a:gd name="T14" fmla="*/ 21 w 21"/>
            <a:gd name="T15" fmla="*/ 347 h 347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" h="347">
              <a:moveTo>
                <a:pt x="18" y="0"/>
              </a:moveTo>
              <a:cubicBezTo>
                <a:pt x="9" y="66"/>
                <a:pt x="0" y="132"/>
                <a:pt x="0" y="162"/>
              </a:cubicBezTo>
              <a:cubicBezTo>
                <a:pt x="0" y="192"/>
                <a:pt x="15" y="148"/>
                <a:pt x="18" y="179"/>
              </a:cubicBezTo>
              <a:cubicBezTo>
                <a:pt x="21" y="210"/>
                <a:pt x="19" y="278"/>
                <a:pt x="17" y="347"/>
              </a:cubicBezTo>
            </a:path>
          </a:pathLst>
        </a:custGeom>
        <a:noFill/>
        <a:ln w="38100" cap="flat" cmpd="sng">
          <a:solidFill>
            <a:srgbClr val="000000"/>
          </a:solidFill>
          <a:prstDash val="solid"/>
          <a:round/>
          <a:headEnd type="none" w="med" len="med"/>
          <a:tailEnd type="triangle" w="lg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449180</xdr:colOff>
      <xdr:row>5</xdr:row>
      <xdr:rowOff>96256</xdr:rowOff>
    </xdr:from>
    <xdr:to>
      <xdr:col>30</xdr:col>
      <xdr:colOff>840442</xdr:colOff>
      <xdr:row>22</xdr:row>
      <xdr:rowOff>100853</xdr:rowOff>
    </xdr:to>
    <xdr:sp macro="" textlink="">
      <xdr:nvSpPr>
        <xdr:cNvPr id="236" name="Line 30">
          <a:extLst>
            <a:ext uri="{FF2B5EF4-FFF2-40B4-BE49-F238E27FC236}">
              <a16:creationId xmlns:a16="http://schemas.microsoft.com/office/drawing/2014/main" id="{400047FD-2020-4C12-B361-A3BD55A452CB}"/>
            </a:ext>
          </a:extLst>
        </xdr:cNvPr>
        <xdr:cNvSpPr>
          <a:spLocks noChangeShapeType="1"/>
        </xdr:cNvSpPr>
      </xdr:nvSpPr>
      <xdr:spPr bwMode="auto">
        <a:xfrm rot="16200000" flipH="1">
          <a:off x="16650115" y="-3195502"/>
          <a:ext cx="3052597" cy="11429056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433137</xdr:colOff>
      <xdr:row>5</xdr:row>
      <xdr:rowOff>104278</xdr:rowOff>
    </xdr:from>
    <xdr:to>
      <xdr:col>26</xdr:col>
      <xdr:colOff>448239</xdr:colOff>
      <xdr:row>23</xdr:row>
      <xdr:rowOff>1</xdr:rowOff>
    </xdr:to>
    <xdr:sp macro="" textlink="">
      <xdr:nvSpPr>
        <xdr:cNvPr id="237" name="Line 30">
          <a:extLst>
            <a:ext uri="{FF2B5EF4-FFF2-40B4-BE49-F238E27FC236}">
              <a16:creationId xmlns:a16="http://schemas.microsoft.com/office/drawing/2014/main" id="{E3D5E2F4-F061-4493-AD9D-0497D9411F6F}"/>
            </a:ext>
          </a:extLst>
        </xdr:cNvPr>
        <xdr:cNvSpPr>
          <a:spLocks noChangeShapeType="1"/>
        </xdr:cNvSpPr>
      </xdr:nvSpPr>
      <xdr:spPr bwMode="auto">
        <a:xfrm rot="16200000" flipH="1">
          <a:off x="14679473" y="-1232881"/>
          <a:ext cx="3123017" cy="7590278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425119</xdr:colOff>
      <xdr:row>5</xdr:row>
      <xdr:rowOff>104277</xdr:rowOff>
    </xdr:from>
    <xdr:to>
      <xdr:col>22</xdr:col>
      <xdr:colOff>885265</xdr:colOff>
      <xdr:row>23</xdr:row>
      <xdr:rowOff>44823</xdr:rowOff>
    </xdr:to>
    <xdr:sp macro="" textlink="">
      <xdr:nvSpPr>
        <xdr:cNvPr id="238" name="Line 30">
          <a:extLst>
            <a:ext uri="{FF2B5EF4-FFF2-40B4-BE49-F238E27FC236}">
              <a16:creationId xmlns:a16="http://schemas.microsoft.com/office/drawing/2014/main" id="{BD2F4C30-1228-4D2D-A1F6-8909D4FCAF77}"/>
            </a:ext>
          </a:extLst>
        </xdr:cNvPr>
        <xdr:cNvSpPr>
          <a:spLocks noChangeShapeType="1"/>
        </xdr:cNvSpPr>
      </xdr:nvSpPr>
      <xdr:spPr bwMode="auto">
        <a:xfrm rot="16200000" flipH="1">
          <a:off x="13162669" y="275904"/>
          <a:ext cx="3167840" cy="4617528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441163</xdr:colOff>
      <xdr:row>5</xdr:row>
      <xdr:rowOff>88233</xdr:rowOff>
    </xdr:from>
    <xdr:to>
      <xdr:col>18</xdr:col>
      <xdr:colOff>683562</xdr:colOff>
      <xdr:row>22</xdr:row>
      <xdr:rowOff>156882</xdr:rowOff>
    </xdr:to>
    <xdr:sp macro="" textlink="">
      <xdr:nvSpPr>
        <xdr:cNvPr id="239" name="Line 30">
          <a:extLst>
            <a:ext uri="{FF2B5EF4-FFF2-40B4-BE49-F238E27FC236}">
              <a16:creationId xmlns:a16="http://schemas.microsoft.com/office/drawing/2014/main" id="{C4C165A6-45E7-4111-A3EA-DE5CAE5D64B6}"/>
            </a:ext>
          </a:extLst>
        </xdr:cNvPr>
        <xdr:cNvSpPr>
          <a:spLocks noChangeShapeType="1"/>
        </xdr:cNvSpPr>
      </xdr:nvSpPr>
      <xdr:spPr bwMode="auto">
        <a:xfrm rot="16200000" flipH="1">
          <a:off x="11621861" y="1816712"/>
          <a:ext cx="3116649" cy="1452634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40105</xdr:colOff>
      <xdr:row>27</xdr:row>
      <xdr:rowOff>80210</xdr:rowOff>
    </xdr:from>
    <xdr:to>
      <xdr:col>5</xdr:col>
      <xdr:colOff>689810</xdr:colOff>
      <xdr:row>27</xdr:row>
      <xdr:rowOff>80210</xdr:rowOff>
    </xdr:to>
    <xdr:sp macro="" textlink="">
      <xdr:nvSpPr>
        <xdr:cNvPr id="240" name="Line 48">
          <a:extLst>
            <a:ext uri="{FF2B5EF4-FFF2-40B4-BE49-F238E27FC236}">
              <a16:creationId xmlns:a16="http://schemas.microsoft.com/office/drawing/2014/main" id="{445BD1D8-6BCB-4F53-A02B-44E9F9112F8A}"/>
            </a:ext>
          </a:extLst>
        </xdr:cNvPr>
        <xdr:cNvSpPr>
          <a:spLocks noChangeShapeType="1"/>
        </xdr:cNvSpPr>
      </xdr:nvSpPr>
      <xdr:spPr bwMode="auto">
        <a:xfrm flipV="1">
          <a:off x="3224463" y="5069305"/>
          <a:ext cx="1259305" cy="0"/>
        </a:xfrm>
        <a:prstGeom prst="line">
          <a:avLst/>
        </a:prstGeom>
        <a:noFill/>
        <a:ln w="152400">
          <a:solidFill>
            <a:srgbClr val="000000"/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40106</xdr:colOff>
      <xdr:row>27</xdr:row>
      <xdr:rowOff>104273</xdr:rowOff>
    </xdr:from>
    <xdr:to>
      <xdr:col>9</xdr:col>
      <xdr:colOff>601580</xdr:colOff>
      <xdr:row>27</xdr:row>
      <xdr:rowOff>112294</xdr:rowOff>
    </xdr:to>
    <xdr:sp macro="" textlink="">
      <xdr:nvSpPr>
        <xdr:cNvPr id="13" name="Line 48">
          <a:extLst>
            <a:ext uri="{FF2B5EF4-FFF2-40B4-BE49-F238E27FC236}">
              <a16:creationId xmlns:a16="http://schemas.microsoft.com/office/drawing/2014/main" id="{26EB62F7-D8F0-47FA-A22F-BA9CBB9F9DC5}"/>
            </a:ext>
          </a:extLst>
        </xdr:cNvPr>
        <xdr:cNvSpPr>
          <a:spLocks noChangeShapeType="1"/>
        </xdr:cNvSpPr>
      </xdr:nvSpPr>
      <xdr:spPr bwMode="auto">
        <a:xfrm>
          <a:off x="6312569" y="5093368"/>
          <a:ext cx="1171074" cy="8021"/>
        </a:xfrm>
        <a:prstGeom prst="line">
          <a:avLst/>
        </a:prstGeom>
        <a:noFill/>
        <a:ln w="152400">
          <a:solidFill>
            <a:srgbClr val="000000"/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493059</xdr:colOff>
      <xdr:row>23</xdr:row>
      <xdr:rowOff>67235</xdr:rowOff>
    </xdr:from>
    <xdr:to>
      <xdr:col>4</xdr:col>
      <xdr:colOff>89647</xdr:colOff>
      <xdr:row>25</xdr:row>
      <xdr:rowOff>120180</xdr:rowOff>
    </xdr:to>
    <xdr:grpSp>
      <xdr:nvGrpSpPr>
        <xdr:cNvPr id="15" name="Group 82">
          <a:extLst>
            <a:ext uri="{FF2B5EF4-FFF2-40B4-BE49-F238E27FC236}">
              <a16:creationId xmlns:a16="http://schemas.microsoft.com/office/drawing/2014/main" id="{CFAFF65A-1E72-47C4-AFC2-DD69D7200E08}"/>
            </a:ext>
          </a:extLst>
        </xdr:cNvPr>
        <xdr:cNvGrpSpPr>
          <a:grpSpLocks/>
        </xdr:cNvGrpSpPr>
      </xdr:nvGrpSpPr>
      <xdr:grpSpPr bwMode="auto">
        <a:xfrm>
          <a:off x="1374588" y="4191000"/>
          <a:ext cx="1897530" cy="411533"/>
          <a:chOff x="1793600" y="2463436"/>
          <a:chExt cx="1711600" cy="486851"/>
        </a:xfrm>
      </xdr:grpSpPr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994DD284-4437-0155-636A-14B0192C626B}"/>
              </a:ext>
            </a:extLst>
          </xdr:cNvPr>
          <xdr:cNvSpPr/>
        </xdr:nvSpPr>
        <xdr:spPr>
          <a:xfrm>
            <a:off x="1828800" y="2463436"/>
            <a:ext cx="1676400" cy="437988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  <xdr:sp macro="" textlink="">
        <xdr:nvSpPr>
          <xdr:cNvPr id="17" name="TextBox 5">
            <a:extLst>
              <a:ext uri="{FF2B5EF4-FFF2-40B4-BE49-F238E27FC236}">
                <a16:creationId xmlns:a16="http://schemas.microsoft.com/office/drawing/2014/main" id="{7AB68560-AD27-36E3-E162-9DD8D6D35BE0}"/>
              </a:ext>
            </a:extLst>
          </xdr:cNvPr>
          <xdr:cNvSpPr txBox="1"/>
        </xdr:nvSpPr>
        <xdr:spPr>
          <a:xfrm>
            <a:off x="1793600" y="2564260"/>
            <a:ext cx="1613669" cy="38602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0" lang="en-US" sz="1200" b="1" i="0" u="none" strike="noStrike" kern="0" cap="none" spc="0" normalizeH="0" baseline="0" noProof="0">
                <a:ln>
                  <a:noFill/>
                </a:ln>
                <a:solidFill>
                  <a:srgbClr val="5B9BD5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Laser</a:t>
            </a:r>
            <a:r>
              <a:rPr lang="en-US" sz="1200" b="1">
                <a:solidFill>
                  <a:schemeClr val="accent1"/>
                </a:solidFill>
              </a:rPr>
              <a:t> </a:t>
            </a:r>
          </a:p>
        </xdr:txBody>
      </xdr:sp>
    </xdr:grpSp>
    <xdr:clientData/>
  </xdr:twoCellAnchor>
  <xdr:twoCellAnchor>
    <xdr:from>
      <xdr:col>6</xdr:col>
      <xdr:colOff>14377</xdr:colOff>
      <xdr:row>23</xdr:row>
      <xdr:rowOff>49476</xdr:rowOff>
    </xdr:from>
    <xdr:to>
      <xdr:col>8</xdr:col>
      <xdr:colOff>0</xdr:colOff>
      <xdr:row>25</xdr:row>
      <xdr:rowOff>57384</xdr:rowOff>
    </xdr:to>
    <xdr:grpSp>
      <xdr:nvGrpSpPr>
        <xdr:cNvPr id="19" name="Group 82">
          <a:extLst>
            <a:ext uri="{FF2B5EF4-FFF2-40B4-BE49-F238E27FC236}">
              <a16:creationId xmlns:a16="http://schemas.microsoft.com/office/drawing/2014/main" id="{47FD234D-D430-48C5-B3F0-FD236131531E}"/>
            </a:ext>
          </a:extLst>
        </xdr:cNvPr>
        <xdr:cNvGrpSpPr>
          <a:grpSpLocks/>
        </xdr:cNvGrpSpPr>
      </xdr:nvGrpSpPr>
      <xdr:grpSpPr bwMode="auto">
        <a:xfrm>
          <a:off x="4526612" y="4173241"/>
          <a:ext cx="1748682" cy="366496"/>
          <a:chOff x="1828800" y="2418265"/>
          <a:chExt cx="1676400" cy="483159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31DBBA71-2354-8787-7FDE-52A8324BC439}"/>
              </a:ext>
            </a:extLst>
          </xdr:cNvPr>
          <xdr:cNvSpPr/>
        </xdr:nvSpPr>
        <xdr:spPr>
          <a:xfrm>
            <a:off x="1828800" y="2463436"/>
            <a:ext cx="1676400" cy="437988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  <xdr:sp macro="" textlink="">
        <xdr:nvSpPr>
          <xdr:cNvPr id="21" name="TextBox 5">
            <a:extLst>
              <a:ext uri="{FF2B5EF4-FFF2-40B4-BE49-F238E27FC236}">
                <a16:creationId xmlns:a16="http://schemas.microsoft.com/office/drawing/2014/main" id="{EAA55A2C-F93B-C5E1-D9B4-BA208D88577B}"/>
              </a:ext>
            </a:extLst>
          </xdr:cNvPr>
          <xdr:cNvSpPr txBox="1"/>
        </xdr:nvSpPr>
        <xdr:spPr>
          <a:xfrm>
            <a:off x="1837110" y="2418265"/>
            <a:ext cx="1613668" cy="36649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0" lang="en-US" sz="1200" b="1" i="0" u="none" strike="noStrike" kern="1200" cap="none" spc="0" normalizeH="0" baseline="0" noProof="0">
                <a:ln>
                  <a:noFill/>
                </a:ln>
                <a:solidFill>
                  <a:srgbClr val="5B9BD5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Bending</a:t>
            </a:r>
            <a:endParaRPr lang="en-US" sz="1200" b="1">
              <a:solidFill>
                <a:schemeClr val="accent1"/>
              </a:solidFill>
            </a:endParaRPr>
          </a:p>
        </xdr:txBody>
      </xdr:sp>
    </xdr:grpSp>
    <xdr:clientData/>
  </xdr:twoCellAnchor>
  <xdr:twoCellAnchor>
    <xdr:from>
      <xdr:col>10</xdr:col>
      <xdr:colOff>8848</xdr:colOff>
      <xdr:row>23</xdr:row>
      <xdr:rowOff>84571</xdr:rowOff>
    </xdr:from>
    <xdr:to>
      <xdr:col>12</xdr:col>
      <xdr:colOff>13838</xdr:colOff>
      <xdr:row>25</xdr:row>
      <xdr:rowOff>59572</xdr:rowOff>
    </xdr:to>
    <xdr:grpSp>
      <xdr:nvGrpSpPr>
        <xdr:cNvPr id="23" name="Group 82">
          <a:extLst>
            <a:ext uri="{FF2B5EF4-FFF2-40B4-BE49-F238E27FC236}">
              <a16:creationId xmlns:a16="http://schemas.microsoft.com/office/drawing/2014/main" id="{9286C334-498A-440B-8DB5-C3043ACE4DFA}"/>
            </a:ext>
          </a:extLst>
        </xdr:cNvPr>
        <xdr:cNvGrpSpPr>
          <a:grpSpLocks/>
        </xdr:cNvGrpSpPr>
      </xdr:nvGrpSpPr>
      <xdr:grpSpPr bwMode="auto">
        <a:xfrm>
          <a:off x="7509319" y="4208336"/>
          <a:ext cx="1812872" cy="333589"/>
          <a:chOff x="1828800" y="2463436"/>
          <a:chExt cx="1676400" cy="463591"/>
        </a:xfrm>
      </xdr:grpSpPr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BD4EB861-1971-FBFC-A6E2-AAEBAB178ED7}"/>
              </a:ext>
            </a:extLst>
          </xdr:cNvPr>
          <xdr:cNvSpPr/>
        </xdr:nvSpPr>
        <xdr:spPr>
          <a:xfrm>
            <a:off x="1828800" y="2463436"/>
            <a:ext cx="1676400" cy="437988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  <xdr:sp macro="" textlink="">
        <xdr:nvSpPr>
          <xdr:cNvPr id="25" name="TextBox 5">
            <a:extLst>
              <a:ext uri="{FF2B5EF4-FFF2-40B4-BE49-F238E27FC236}">
                <a16:creationId xmlns:a16="http://schemas.microsoft.com/office/drawing/2014/main" id="{35D590A8-D0A3-3788-E7BB-F741F008EECB}"/>
              </a:ext>
            </a:extLst>
          </xdr:cNvPr>
          <xdr:cNvSpPr txBox="1"/>
        </xdr:nvSpPr>
        <xdr:spPr>
          <a:xfrm>
            <a:off x="1886879" y="2540251"/>
            <a:ext cx="1613668" cy="38677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>
                <a:solidFill>
                  <a:schemeClr val="accent1"/>
                </a:solidFill>
              </a:rPr>
              <a:t>Assmbly</a:t>
            </a:r>
            <a:r>
              <a:rPr lang="en-US" sz="1200" b="1" baseline="0">
                <a:solidFill>
                  <a:schemeClr val="accent1"/>
                </a:solidFill>
              </a:rPr>
              <a:t> </a:t>
            </a:r>
            <a:r>
              <a:rPr lang="en-US" sz="1200" b="1">
                <a:solidFill>
                  <a:schemeClr val="accent1"/>
                </a:solidFill>
              </a:rPr>
              <a:t>  </a:t>
            </a:r>
          </a:p>
        </xdr:txBody>
      </xdr:sp>
    </xdr:grpSp>
    <xdr:clientData/>
  </xdr:twoCellAnchor>
  <xdr:twoCellAnchor>
    <xdr:from>
      <xdr:col>13</xdr:col>
      <xdr:colOff>543211</xdr:colOff>
      <xdr:row>23</xdr:row>
      <xdr:rowOff>93166</xdr:rowOff>
    </xdr:from>
    <xdr:to>
      <xdr:col>16</xdr:col>
      <xdr:colOff>10656</xdr:colOff>
      <xdr:row>25</xdr:row>
      <xdr:rowOff>81147</xdr:rowOff>
    </xdr:to>
    <xdr:grpSp>
      <xdr:nvGrpSpPr>
        <xdr:cNvPr id="27" name="Group 82">
          <a:extLst>
            <a:ext uri="{FF2B5EF4-FFF2-40B4-BE49-F238E27FC236}">
              <a16:creationId xmlns:a16="http://schemas.microsoft.com/office/drawing/2014/main" id="{D1E82819-9089-4D7E-9836-0DF685503325}"/>
            </a:ext>
          </a:extLst>
        </xdr:cNvPr>
        <xdr:cNvGrpSpPr>
          <a:grpSpLocks/>
        </xdr:cNvGrpSpPr>
      </xdr:nvGrpSpPr>
      <xdr:grpSpPr bwMode="auto">
        <a:xfrm>
          <a:off x="10464152" y="4216931"/>
          <a:ext cx="1618975" cy="346569"/>
          <a:chOff x="1731244" y="2463436"/>
          <a:chExt cx="1773956" cy="437988"/>
        </a:xfrm>
      </xdr:grpSpPr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2BE22B05-8889-1BBC-FA09-FB27857BF548}"/>
              </a:ext>
            </a:extLst>
          </xdr:cNvPr>
          <xdr:cNvSpPr/>
        </xdr:nvSpPr>
        <xdr:spPr>
          <a:xfrm>
            <a:off x="1828800" y="2463436"/>
            <a:ext cx="1676400" cy="437988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  <xdr:sp macro="" textlink="">
        <xdr:nvSpPr>
          <xdr:cNvPr id="30" name="TextBox 5">
            <a:extLst>
              <a:ext uri="{FF2B5EF4-FFF2-40B4-BE49-F238E27FC236}">
                <a16:creationId xmlns:a16="http://schemas.microsoft.com/office/drawing/2014/main" id="{E1C44C9B-3AF7-CFA0-EB6D-E4BAB7D6FE61}"/>
              </a:ext>
            </a:extLst>
          </xdr:cNvPr>
          <xdr:cNvSpPr txBox="1"/>
        </xdr:nvSpPr>
        <xdr:spPr>
          <a:xfrm>
            <a:off x="1731244" y="2506467"/>
            <a:ext cx="1613668" cy="38677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>
                <a:solidFill>
                  <a:schemeClr val="accent1"/>
                </a:solidFill>
              </a:rPr>
              <a:t>Compressing</a:t>
            </a:r>
            <a:r>
              <a:rPr lang="en-US" sz="1200" b="1" baseline="0">
                <a:solidFill>
                  <a:schemeClr val="accent1"/>
                </a:solidFill>
              </a:rPr>
              <a:t> </a:t>
            </a:r>
            <a:endParaRPr lang="en-US" sz="1200" b="1">
              <a:solidFill>
                <a:schemeClr val="accent1"/>
              </a:solidFill>
            </a:endParaRPr>
          </a:p>
        </xdr:txBody>
      </xdr:sp>
    </xdr:grpSp>
    <xdr:clientData/>
  </xdr:twoCellAnchor>
  <xdr:twoCellAnchor>
    <xdr:from>
      <xdr:col>22</xdr:col>
      <xdr:colOff>117345</xdr:colOff>
      <xdr:row>23</xdr:row>
      <xdr:rowOff>98951</xdr:rowOff>
    </xdr:from>
    <xdr:to>
      <xdr:col>23</xdr:col>
      <xdr:colOff>540398</xdr:colOff>
      <xdr:row>25</xdr:row>
      <xdr:rowOff>68818</xdr:rowOff>
    </xdr:to>
    <xdr:grpSp>
      <xdr:nvGrpSpPr>
        <xdr:cNvPr id="33" name="Group 82">
          <a:extLst>
            <a:ext uri="{FF2B5EF4-FFF2-40B4-BE49-F238E27FC236}">
              <a16:creationId xmlns:a16="http://schemas.microsoft.com/office/drawing/2014/main" id="{D8D480BD-0551-4BD8-AB9A-4D2FE40077CD}"/>
            </a:ext>
          </a:extLst>
        </xdr:cNvPr>
        <xdr:cNvGrpSpPr>
          <a:grpSpLocks/>
        </xdr:cNvGrpSpPr>
      </xdr:nvGrpSpPr>
      <xdr:grpSpPr bwMode="auto">
        <a:xfrm>
          <a:off x="16373345" y="4222716"/>
          <a:ext cx="1483877" cy="328455"/>
          <a:chOff x="1828800" y="2463436"/>
          <a:chExt cx="1676400" cy="456456"/>
        </a:xfrm>
      </xdr:grpSpPr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B290D27E-E529-2F60-CE23-BA467285F2C6}"/>
              </a:ext>
            </a:extLst>
          </xdr:cNvPr>
          <xdr:cNvSpPr/>
        </xdr:nvSpPr>
        <xdr:spPr>
          <a:xfrm>
            <a:off x="1828800" y="2463436"/>
            <a:ext cx="1676400" cy="437988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  <xdr:sp macro="" textlink="">
        <xdr:nvSpPr>
          <xdr:cNvPr id="37" name="TextBox 5">
            <a:extLst>
              <a:ext uri="{FF2B5EF4-FFF2-40B4-BE49-F238E27FC236}">
                <a16:creationId xmlns:a16="http://schemas.microsoft.com/office/drawing/2014/main" id="{7D686C43-808A-9976-ABD9-AFD8AC7969BE}"/>
              </a:ext>
            </a:extLst>
          </xdr:cNvPr>
          <xdr:cNvSpPr txBox="1"/>
        </xdr:nvSpPr>
        <xdr:spPr>
          <a:xfrm>
            <a:off x="1853333" y="2533115"/>
            <a:ext cx="1613668" cy="386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>
                <a:solidFill>
                  <a:schemeClr val="accent1"/>
                </a:solidFill>
              </a:rPr>
              <a:t>Paint  </a:t>
            </a:r>
          </a:p>
        </xdr:txBody>
      </xdr:sp>
    </xdr:grpSp>
    <xdr:clientData/>
  </xdr:twoCellAnchor>
  <xdr:twoCellAnchor>
    <xdr:from>
      <xdr:col>26</xdr:col>
      <xdr:colOff>19029</xdr:colOff>
      <xdr:row>23</xdr:row>
      <xdr:rowOff>87744</xdr:rowOff>
    </xdr:from>
    <xdr:to>
      <xdr:col>27</xdr:col>
      <xdr:colOff>591354</xdr:colOff>
      <xdr:row>25</xdr:row>
      <xdr:rowOff>57611</xdr:rowOff>
    </xdr:to>
    <xdr:grpSp>
      <xdr:nvGrpSpPr>
        <xdr:cNvPr id="39" name="Group 82">
          <a:extLst>
            <a:ext uri="{FF2B5EF4-FFF2-40B4-BE49-F238E27FC236}">
              <a16:creationId xmlns:a16="http://schemas.microsoft.com/office/drawing/2014/main" id="{030B598A-5AAE-4DF3-96B2-00D23D9A16FF}"/>
            </a:ext>
          </a:extLst>
        </xdr:cNvPr>
        <xdr:cNvGrpSpPr>
          <a:grpSpLocks/>
        </xdr:cNvGrpSpPr>
      </xdr:nvGrpSpPr>
      <xdr:grpSpPr bwMode="auto">
        <a:xfrm>
          <a:off x="19696558" y="4211509"/>
          <a:ext cx="1498678" cy="328455"/>
          <a:chOff x="1828800" y="2463436"/>
          <a:chExt cx="1676400" cy="456456"/>
        </a:xfrm>
      </xdr:grpSpPr>
      <xdr:sp macro="" textlink="">
        <xdr:nvSpPr>
          <xdr:cNvPr id="40" name="Rectangle 39">
            <a:extLst>
              <a:ext uri="{FF2B5EF4-FFF2-40B4-BE49-F238E27FC236}">
                <a16:creationId xmlns:a16="http://schemas.microsoft.com/office/drawing/2014/main" id="{92C06A61-060D-A2F5-0A92-37456CF5C2AC}"/>
              </a:ext>
            </a:extLst>
          </xdr:cNvPr>
          <xdr:cNvSpPr/>
        </xdr:nvSpPr>
        <xdr:spPr>
          <a:xfrm>
            <a:off x="1828800" y="2463436"/>
            <a:ext cx="1676400" cy="437988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  <xdr:sp macro="" textlink="">
        <xdr:nvSpPr>
          <xdr:cNvPr id="41" name="TextBox 5">
            <a:extLst>
              <a:ext uri="{FF2B5EF4-FFF2-40B4-BE49-F238E27FC236}">
                <a16:creationId xmlns:a16="http://schemas.microsoft.com/office/drawing/2014/main" id="{528DB75F-E14A-A234-D23B-2F289477A18D}"/>
              </a:ext>
            </a:extLst>
          </xdr:cNvPr>
          <xdr:cNvSpPr txBox="1"/>
        </xdr:nvSpPr>
        <xdr:spPr>
          <a:xfrm>
            <a:off x="1853333" y="2533115"/>
            <a:ext cx="1613668" cy="386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>
                <a:solidFill>
                  <a:schemeClr val="accent1"/>
                </a:solidFill>
              </a:rPr>
              <a:t>Oven</a:t>
            </a:r>
          </a:p>
        </xdr:txBody>
      </xdr:sp>
    </xdr:grpSp>
    <xdr:clientData/>
  </xdr:twoCellAnchor>
  <xdr:twoCellAnchor>
    <xdr:from>
      <xdr:col>18</xdr:col>
      <xdr:colOff>198613</xdr:colOff>
      <xdr:row>22</xdr:row>
      <xdr:rowOff>163132</xdr:rowOff>
    </xdr:from>
    <xdr:to>
      <xdr:col>19</xdr:col>
      <xdr:colOff>839113</xdr:colOff>
      <xdr:row>24</xdr:row>
      <xdr:rowOff>132999</xdr:rowOff>
    </xdr:to>
    <xdr:grpSp>
      <xdr:nvGrpSpPr>
        <xdr:cNvPr id="43" name="Group 82">
          <a:extLst>
            <a:ext uri="{FF2B5EF4-FFF2-40B4-BE49-F238E27FC236}">
              <a16:creationId xmlns:a16="http://schemas.microsoft.com/office/drawing/2014/main" id="{23CBFAB7-09EB-F1F1-F0C1-6EDD4A0E9485}"/>
            </a:ext>
          </a:extLst>
        </xdr:cNvPr>
        <xdr:cNvGrpSpPr>
          <a:grpSpLocks/>
        </xdr:cNvGrpSpPr>
      </xdr:nvGrpSpPr>
      <xdr:grpSpPr bwMode="auto">
        <a:xfrm>
          <a:off x="13496260" y="4107603"/>
          <a:ext cx="1492147" cy="328455"/>
          <a:chOff x="1828800" y="2463436"/>
          <a:chExt cx="1676400" cy="456456"/>
        </a:xfrm>
      </xdr:grpSpPr>
      <xdr:sp macro="" textlink="">
        <xdr:nvSpPr>
          <xdr:cNvPr id="44" name="Rectangle 43">
            <a:extLst>
              <a:ext uri="{FF2B5EF4-FFF2-40B4-BE49-F238E27FC236}">
                <a16:creationId xmlns:a16="http://schemas.microsoft.com/office/drawing/2014/main" id="{E4A2C151-957B-AD40-0F02-E4AD8A649CC3}"/>
              </a:ext>
            </a:extLst>
          </xdr:cNvPr>
          <xdr:cNvSpPr/>
        </xdr:nvSpPr>
        <xdr:spPr>
          <a:xfrm>
            <a:off x="1828800" y="2463436"/>
            <a:ext cx="1676400" cy="437988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  <xdr:sp macro="" textlink="">
        <xdr:nvSpPr>
          <xdr:cNvPr id="45" name="TextBox 5">
            <a:extLst>
              <a:ext uri="{FF2B5EF4-FFF2-40B4-BE49-F238E27FC236}">
                <a16:creationId xmlns:a16="http://schemas.microsoft.com/office/drawing/2014/main" id="{B3A5642D-A081-7E86-858F-A8DD71F1CBC5}"/>
              </a:ext>
            </a:extLst>
          </xdr:cNvPr>
          <xdr:cNvSpPr txBox="1"/>
        </xdr:nvSpPr>
        <xdr:spPr>
          <a:xfrm>
            <a:off x="1853333" y="2533115"/>
            <a:ext cx="1613668" cy="386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>
                <a:solidFill>
                  <a:schemeClr val="accent1"/>
                </a:solidFill>
              </a:rPr>
              <a:t>Finishing </a:t>
            </a:r>
          </a:p>
        </xdr:txBody>
      </xdr:sp>
    </xdr:grpSp>
    <xdr:clientData/>
  </xdr:twoCellAnchor>
  <xdr:twoCellAnchor>
    <xdr:from>
      <xdr:col>30</xdr:col>
      <xdr:colOff>95646</xdr:colOff>
      <xdr:row>23</xdr:row>
      <xdr:rowOff>60952</xdr:rowOff>
    </xdr:from>
    <xdr:to>
      <xdr:col>31</xdr:col>
      <xdr:colOff>632603</xdr:colOff>
      <xdr:row>25</xdr:row>
      <xdr:rowOff>30818</xdr:rowOff>
    </xdr:to>
    <xdr:grpSp>
      <xdr:nvGrpSpPr>
        <xdr:cNvPr id="51" name="Group 82">
          <a:extLst>
            <a:ext uri="{FF2B5EF4-FFF2-40B4-BE49-F238E27FC236}">
              <a16:creationId xmlns:a16="http://schemas.microsoft.com/office/drawing/2014/main" id="{01BA0F0E-D1FB-496B-B297-99737D4F5FE5}"/>
            </a:ext>
          </a:extLst>
        </xdr:cNvPr>
        <xdr:cNvGrpSpPr>
          <a:grpSpLocks/>
        </xdr:cNvGrpSpPr>
      </xdr:nvGrpSpPr>
      <xdr:grpSpPr bwMode="auto">
        <a:xfrm>
          <a:off x="23239528" y="4184717"/>
          <a:ext cx="1986251" cy="328454"/>
          <a:chOff x="1828800" y="2463436"/>
          <a:chExt cx="1676400" cy="456455"/>
        </a:xfrm>
      </xdr:grpSpPr>
      <xdr:sp macro="" textlink="">
        <xdr:nvSpPr>
          <xdr:cNvPr id="52" name="Rectangle 51">
            <a:extLst>
              <a:ext uri="{FF2B5EF4-FFF2-40B4-BE49-F238E27FC236}">
                <a16:creationId xmlns:a16="http://schemas.microsoft.com/office/drawing/2014/main" id="{60E04389-4C1E-C7A7-3CFB-7725A32DDF82}"/>
              </a:ext>
            </a:extLst>
          </xdr:cNvPr>
          <xdr:cNvSpPr/>
        </xdr:nvSpPr>
        <xdr:spPr>
          <a:xfrm>
            <a:off x="1828800" y="2463436"/>
            <a:ext cx="1676400" cy="437988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  <xdr:sp macro="" textlink="">
        <xdr:nvSpPr>
          <xdr:cNvPr id="53" name="TextBox 5">
            <a:extLst>
              <a:ext uri="{FF2B5EF4-FFF2-40B4-BE49-F238E27FC236}">
                <a16:creationId xmlns:a16="http://schemas.microsoft.com/office/drawing/2014/main" id="{47F1823E-3F10-7947-6D23-28422531A2CC}"/>
              </a:ext>
            </a:extLst>
          </xdr:cNvPr>
          <xdr:cNvSpPr txBox="1"/>
        </xdr:nvSpPr>
        <xdr:spPr>
          <a:xfrm>
            <a:off x="1853333" y="2533115"/>
            <a:ext cx="1613669" cy="38677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>
                <a:solidFill>
                  <a:schemeClr val="accent1"/>
                </a:solidFill>
              </a:rPr>
              <a:t>Accessory</a:t>
            </a:r>
            <a:r>
              <a:rPr lang="en-US" sz="1200" b="1" baseline="0">
                <a:solidFill>
                  <a:schemeClr val="accent1"/>
                </a:solidFill>
              </a:rPr>
              <a:t> Assmbly </a:t>
            </a:r>
            <a:r>
              <a:rPr lang="en-US" sz="1200" b="1">
                <a:solidFill>
                  <a:schemeClr val="accent1"/>
                </a:solidFill>
              </a:rPr>
              <a:t> </a:t>
            </a:r>
          </a:p>
        </xdr:txBody>
      </xdr:sp>
    </xdr:grpSp>
    <xdr:clientData/>
  </xdr:twoCellAnchor>
  <xdr:twoCellAnchor>
    <xdr:from>
      <xdr:col>4</xdr:col>
      <xdr:colOff>256918</xdr:colOff>
      <xdr:row>21</xdr:row>
      <xdr:rowOff>163096</xdr:rowOff>
    </xdr:from>
    <xdr:to>
      <xdr:col>5</xdr:col>
      <xdr:colOff>533147</xdr:colOff>
      <xdr:row>24</xdr:row>
      <xdr:rowOff>171558</xdr:rowOff>
    </xdr:to>
    <xdr:pic>
      <xdr:nvPicPr>
        <xdr:cNvPr id="14" name="Picture 5" descr="VSM-Icons_Inventory">
          <a:extLst>
            <a:ext uri="{FF2B5EF4-FFF2-40B4-BE49-F238E27FC236}">
              <a16:creationId xmlns:a16="http://schemas.microsoft.com/office/drawing/2014/main" id="{120C320D-C13E-4C86-833D-014377C49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35" t="5746" r="9735" b="3448"/>
        <a:stretch>
          <a:fillRect/>
        </a:stretch>
      </xdr:blipFill>
      <xdr:spPr bwMode="auto">
        <a:xfrm>
          <a:off x="3438896" y="4031711"/>
          <a:ext cx="887504" cy="5611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101600</xdr:colOff>
      <xdr:row>22</xdr:row>
      <xdr:rowOff>66040</xdr:rowOff>
    </xdr:from>
    <xdr:to>
      <xdr:col>9</xdr:col>
      <xdr:colOff>377829</xdr:colOff>
      <xdr:row>25</xdr:row>
      <xdr:rowOff>74502</xdr:rowOff>
    </xdr:to>
    <xdr:pic>
      <xdr:nvPicPr>
        <xdr:cNvPr id="56" name="Picture 5" descr="VSM-Icons_Inventory">
          <a:extLst>
            <a:ext uri="{FF2B5EF4-FFF2-40B4-BE49-F238E27FC236}">
              <a16:creationId xmlns:a16="http://schemas.microsoft.com/office/drawing/2014/main" id="{8E13538E-FFB3-4A56-960F-7B20C2A7F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35" t="5746" r="9735" b="3448"/>
        <a:stretch>
          <a:fillRect/>
        </a:stretch>
      </xdr:blipFill>
      <xdr:spPr bwMode="auto">
        <a:xfrm>
          <a:off x="6385560" y="4089400"/>
          <a:ext cx="885829" cy="557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127061</xdr:colOff>
      <xdr:row>22</xdr:row>
      <xdr:rowOff>106574</xdr:rowOff>
    </xdr:from>
    <xdr:to>
      <xdr:col>17</xdr:col>
      <xdr:colOff>400332</xdr:colOff>
      <xdr:row>24</xdr:row>
      <xdr:rowOff>175738</xdr:rowOff>
    </xdr:to>
    <xdr:pic>
      <xdr:nvPicPr>
        <xdr:cNvPr id="58" name="Picture 5" descr="VSM-Icons_Inventory">
          <a:extLst>
            <a:ext uri="{FF2B5EF4-FFF2-40B4-BE49-F238E27FC236}">
              <a16:creationId xmlns:a16="http://schemas.microsoft.com/office/drawing/2014/main" id="{0775CE74-38E4-440A-BA2D-9F6857331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35" t="5746" r="9735" b="3448"/>
        <a:stretch>
          <a:fillRect/>
        </a:stretch>
      </xdr:blipFill>
      <xdr:spPr bwMode="auto">
        <a:xfrm>
          <a:off x="12164530" y="4092420"/>
          <a:ext cx="880739" cy="4315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162000</xdr:colOff>
      <xdr:row>22</xdr:row>
      <xdr:rowOff>175845</xdr:rowOff>
    </xdr:from>
    <xdr:to>
      <xdr:col>21</xdr:col>
      <xdr:colOff>435271</xdr:colOff>
      <xdr:row>25</xdr:row>
      <xdr:rowOff>42629</xdr:rowOff>
    </xdr:to>
    <xdr:pic>
      <xdr:nvPicPr>
        <xdr:cNvPr id="62" name="Picture 5" descr="VSM-Icons_Inventory">
          <a:extLst>
            <a:ext uri="{FF2B5EF4-FFF2-40B4-BE49-F238E27FC236}">
              <a16:creationId xmlns:a16="http://schemas.microsoft.com/office/drawing/2014/main" id="{34D303D3-D23E-47DB-BD28-46E225648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35" t="5746" r="9735" b="3448"/>
        <a:stretch>
          <a:fillRect/>
        </a:stretch>
      </xdr:blipFill>
      <xdr:spPr bwMode="auto">
        <a:xfrm>
          <a:off x="15151552" y="4161691"/>
          <a:ext cx="880740" cy="4103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301256</xdr:colOff>
      <xdr:row>22</xdr:row>
      <xdr:rowOff>141767</xdr:rowOff>
    </xdr:from>
    <xdr:to>
      <xdr:col>25</xdr:col>
      <xdr:colOff>574527</xdr:colOff>
      <xdr:row>25</xdr:row>
      <xdr:rowOff>8551</xdr:rowOff>
    </xdr:to>
    <xdr:pic>
      <xdr:nvPicPr>
        <xdr:cNvPr id="18" name="Picture 5" descr="VSM-Icons_Inventory">
          <a:extLst>
            <a:ext uri="{FF2B5EF4-FFF2-40B4-BE49-F238E27FC236}">
              <a16:creationId xmlns:a16="http://schemas.microsoft.com/office/drawing/2014/main" id="{D1F584E6-F9BE-405A-B0BB-AF8B846F9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35" t="5746" r="9735" b="3448"/>
        <a:stretch>
          <a:fillRect/>
        </a:stretch>
      </xdr:blipFill>
      <xdr:spPr bwMode="auto">
        <a:xfrm>
          <a:off x="18403186" y="4235302"/>
          <a:ext cx="884643" cy="4249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326470</xdr:colOff>
      <xdr:row>9</xdr:row>
      <xdr:rowOff>72200</xdr:rowOff>
    </xdr:from>
    <xdr:to>
      <xdr:col>37</xdr:col>
      <xdr:colOff>479509</xdr:colOff>
      <xdr:row>14</xdr:row>
      <xdr:rowOff>92783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EE90152-F8B8-40DA-8C53-02FC9AEACCF9}"/>
            </a:ext>
          </a:extLst>
        </xdr:cNvPr>
        <xdr:cNvGrpSpPr>
          <a:grpSpLocks/>
        </xdr:cNvGrpSpPr>
      </xdr:nvGrpSpPr>
      <xdr:grpSpPr bwMode="auto">
        <a:xfrm>
          <a:off x="28126332" y="1727579"/>
          <a:ext cx="3476936" cy="940238"/>
          <a:chOff x="4267200" y="2391675"/>
          <a:chExt cx="1139984" cy="795770"/>
        </a:xfrm>
      </xdr:grpSpPr>
      <xdr:pic>
        <xdr:nvPicPr>
          <xdr:cNvPr id="3" name="Picture 2" descr="VSM-Icons_Outside-SourcesTra">
            <a:extLst>
              <a:ext uri="{FF2B5EF4-FFF2-40B4-BE49-F238E27FC236}">
                <a16:creationId xmlns:a16="http://schemas.microsoft.com/office/drawing/2014/main" id="{6C8FE403-96C9-95E1-3AD7-F05F44EE379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425" t="4494" r="3540" b="4494"/>
          <a:stretch>
            <a:fillRect/>
          </a:stretch>
        </xdr:blipFill>
        <xdr:spPr bwMode="auto">
          <a:xfrm>
            <a:off x="4319602" y="2391675"/>
            <a:ext cx="1087582" cy="79577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TextBox 37">
            <a:extLst>
              <a:ext uri="{FF2B5EF4-FFF2-40B4-BE49-F238E27FC236}">
                <a16:creationId xmlns:a16="http://schemas.microsoft.com/office/drawing/2014/main" id="{155E17B0-2795-899A-F793-C1C3933C9DB2}"/>
              </a:ext>
            </a:extLst>
          </xdr:cNvPr>
          <xdr:cNvSpPr txBox="1"/>
        </xdr:nvSpPr>
        <xdr:spPr>
          <a:xfrm>
            <a:off x="4267200" y="2790965"/>
            <a:ext cx="1039245" cy="25028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050" b="1"/>
              <a:t>Customer</a:t>
            </a:r>
          </a:p>
        </xdr:txBody>
      </xdr:sp>
    </xdr:grpSp>
    <xdr:clientData/>
  </xdr:twoCellAnchor>
  <xdr:twoCellAnchor>
    <xdr:from>
      <xdr:col>15</xdr:col>
      <xdr:colOff>412750</xdr:colOff>
      <xdr:row>1</xdr:row>
      <xdr:rowOff>159959</xdr:rowOff>
    </xdr:from>
    <xdr:to>
      <xdr:col>17</xdr:col>
      <xdr:colOff>431800</xdr:colOff>
      <xdr:row>5</xdr:row>
      <xdr:rowOff>119744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1ADAFB0E-B7A9-483B-83A1-EE27A5A9D7B2}"/>
            </a:ext>
          </a:extLst>
        </xdr:cNvPr>
        <xdr:cNvGrpSpPr>
          <a:grpSpLocks/>
        </xdr:cNvGrpSpPr>
      </xdr:nvGrpSpPr>
      <xdr:grpSpPr bwMode="auto">
        <a:xfrm>
          <a:off x="11632543" y="343890"/>
          <a:ext cx="1424809" cy="695509"/>
          <a:chOff x="1828800" y="2463436"/>
          <a:chExt cx="1676400" cy="965565"/>
        </a:xfrm>
      </xdr:grpSpPr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E7174ECF-CD0C-CB23-3EB9-70E444EB7908}"/>
              </a:ext>
            </a:extLst>
          </xdr:cNvPr>
          <xdr:cNvSpPr/>
        </xdr:nvSpPr>
        <xdr:spPr>
          <a:xfrm>
            <a:off x="1828800" y="2463436"/>
            <a:ext cx="1676400" cy="437988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  <xdr:sp macro="" textlink="">
        <xdr:nvSpPr>
          <xdr:cNvPr id="7" name="TextBox 5">
            <a:extLst>
              <a:ext uri="{FF2B5EF4-FFF2-40B4-BE49-F238E27FC236}">
                <a16:creationId xmlns:a16="http://schemas.microsoft.com/office/drawing/2014/main" id="{8F1DD665-0388-65BD-A8BD-0670012BA3F8}"/>
              </a:ext>
            </a:extLst>
          </xdr:cNvPr>
          <xdr:cNvSpPr txBox="1"/>
        </xdr:nvSpPr>
        <xdr:spPr>
          <a:xfrm>
            <a:off x="1853333" y="2533115"/>
            <a:ext cx="1602802" cy="66865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/>
              <a:t>control</a:t>
            </a:r>
            <a:r>
              <a:rPr lang="en-US" sz="1200" b="1" baseline="0"/>
              <a:t> </a:t>
            </a:r>
          </a:p>
          <a:p>
            <a:pPr algn="ctr"/>
            <a:r>
              <a:rPr lang="en-US" sz="1200" b="1" baseline="0"/>
              <a:t>unit</a:t>
            </a:r>
            <a:endParaRPr lang="en-US" sz="1200" b="1"/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DAE5904F-4372-4D23-8481-F732BED9DAE3}"/>
              </a:ext>
            </a:extLst>
          </xdr:cNvPr>
          <xdr:cNvSpPr/>
        </xdr:nvSpPr>
        <xdr:spPr>
          <a:xfrm>
            <a:off x="1828800" y="2901424"/>
            <a:ext cx="1676400" cy="52757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</xdr:grpSp>
    <xdr:clientData/>
  </xdr:twoCellAnchor>
  <xdr:twoCellAnchor>
    <xdr:from>
      <xdr:col>0</xdr:col>
      <xdr:colOff>194609</xdr:colOff>
      <xdr:row>4</xdr:row>
      <xdr:rowOff>82550</xdr:rowOff>
    </xdr:from>
    <xdr:to>
      <xdr:col>2</xdr:col>
      <xdr:colOff>69850</xdr:colOff>
      <xdr:row>9</xdr:row>
      <xdr:rowOff>76200</xdr:rowOff>
    </xdr:to>
    <xdr:grpSp>
      <xdr:nvGrpSpPr>
        <xdr:cNvPr id="9" name="Group 1">
          <a:extLst>
            <a:ext uri="{FF2B5EF4-FFF2-40B4-BE49-F238E27FC236}">
              <a16:creationId xmlns:a16="http://schemas.microsoft.com/office/drawing/2014/main" id="{F62DB208-EF9B-4C54-8671-22C48E785D35}"/>
            </a:ext>
          </a:extLst>
        </xdr:cNvPr>
        <xdr:cNvGrpSpPr>
          <a:grpSpLocks/>
        </xdr:cNvGrpSpPr>
      </xdr:nvGrpSpPr>
      <xdr:grpSpPr bwMode="auto">
        <a:xfrm>
          <a:off x="194609" y="818274"/>
          <a:ext cx="1333551" cy="913305"/>
          <a:chOff x="4252230" y="2418750"/>
          <a:chExt cx="1102552" cy="795770"/>
        </a:xfrm>
      </xdr:grpSpPr>
      <xdr:pic>
        <xdr:nvPicPr>
          <xdr:cNvPr id="10" name="Picture 2" descr="VSM-Icons_Outside-SourcesTra">
            <a:extLst>
              <a:ext uri="{FF2B5EF4-FFF2-40B4-BE49-F238E27FC236}">
                <a16:creationId xmlns:a16="http://schemas.microsoft.com/office/drawing/2014/main" id="{859B16E0-0676-F4EB-5FC9-55A5EA4CE62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425" t="4494" r="3540" b="4494"/>
          <a:stretch>
            <a:fillRect/>
          </a:stretch>
        </xdr:blipFill>
        <xdr:spPr bwMode="auto">
          <a:xfrm>
            <a:off x="4267200" y="2418750"/>
            <a:ext cx="1087582" cy="79577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1" name="TextBox 37">
            <a:extLst>
              <a:ext uri="{FF2B5EF4-FFF2-40B4-BE49-F238E27FC236}">
                <a16:creationId xmlns:a16="http://schemas.microsoft.com/office/drawing/2014/main" id="{A58C2623-8F4D-2907-3F9C-BD9BB0EF1F1B}"/>
              </a:ext>
            </a:extLst>
          </xdr:cNvPr>
          <xdr:cNvSpPr txBox="1"/>
        </xdr:nvSpPr>
        <xdr:spPr>
          <a:xfrm>
            <a:off x="4252230" y="2524812"/>
            <a:ext cx="1039245" cy="22462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1050" b="1">
              <a:solidFill>
                <a:schemeClr val="tx1"/>
              </a:solidFill>
            </a:endParaRPr>
          </a:p>
        </xdr:txBody>
      </xdr:sp>
    </xdr:grpSp>
    <xdr:clientData/>
  </xdr:twoCellAnchor>
  <xdr:twoCellAnchor editAs="oneCell">
    <xdr:from>
      <xdr:col>0</xdr:col>
      <xdr:colOff>304053</xdr:colOff>
      <xdr:row>11</xdr:row>
      <xdr:rowOff>19797</xdr:rowOff>
    </xdr:from>
    <xdr:to>
      <xdr:col>1</xdr:col>
      <xdr:colOff>420494</xdr:colOff>
      <xdr:row>14</xdr:row>
      <xdr:rowOff>57897</xdr:rowOff>
    </xdr:to>
    <xdr:pic>
      <xdr:nvPicPr>
        <xdr:cNvPr id="12" name="Picture 30" descr="VSM-Icons_Truck-Shipment">
          <a:extLst>
            <a:ext uri="{FF2B5EF4-FFF2-40B4-BE49-F238E27FC236}">
              <a16:creationId xmlns:a16="http://schemas.microsoft.com/office/drawing/2014/main" id="{FFF4DEE3-3967-407E-82AC-237BFA8F1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0" t="13792" r="4425" b="12643"/>
        <a:stretch>
          <a:fillRect/>
        </a:stretch>
      </xdr:blipFill>
      <xdr:spPr bwMode="auto">
        <a:xfrm>
          <a:off x="304053" y="2031477"/>
          <a:ext cx="992741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672352</xdr:colOff>
      <xdr:row>5</xdr:row>
      <xdr:rowOff>89648</xdr:rowOff>
    </xdr:from>
    <xdr:to>
      <xdr:col>16</xdr:col>
      <xdr:colOff>448237</xdr:colOff>
      <xdr:row>22</xdr:row>
      <xdr:rowOff>56032</xdr:rowOff>
    </xdr:to>
    <xdr:sp macro="" textlink="">
      <xdr:nvSpPr>
        <xdr:cNvPr id="13" name="Line 30">
          <a:extLst>
            <a:ext uri="{FF2B5EF4-FFF2-40B4-BE49-F238E27FC236}">
              <a16:creationId xmlns:a16="http://schemas.microsoft.com/office/drawing/2014/main" id="{91C05088-C3F8-4813-92EA-F64FCC9DCC2B}"/>
            </a:ext>
          </a:extLst>
        </xdr:cNvPr>
        <xdr:cNvSpPr>
          <a:spLocks noChangeShapeType="1"/>
        </xdr:cNvSpPr>
      </xdr:nvSpPr>
      <xdr:spPr bwMode="auto">
        <a:xfrm rot="-5400000" flipH="1" flipV="1">
          <a:off x="6269243" y="-2146823"/>
          <a:ext cx="3075344" cy="9377085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</xdr:row>
      <xdr:rowOff>119717</xdr:rowOff>
    </xdr:from>
    <xdr:to>
      <xdr:col>2</xdr:col>
      <xdr:colOff>329259</xdr:colOff>
      <xdr:row>8</xdr:row>
      <xdr:rowOff>42440</xdr:rowOff>
    </xdr:to>
    <xdr:sp macro="" textlink="">
      <xdr:nvSpPr>
        <xdr:cNvPr id="14" name="TextBox 5">
          <a:extLst>
            <a:ext uri="{FF2B5EF4-FFF2-40B4-BE49-F238E27FC236}">
              <a16:creationId xmlns:a16="http://schemas.microsoft.com/office/drawing/2014/main" id="{3A7F5B7A-094B-4A49-8AF5-780F3B601484}"/>
            </a:ext>
          </a:extLst>
        </xdr:cNvPr>
        <xdr:cNvSpPr txBox="1"/>
      </xdr:nvSpPr>
      <xdr:spPr bwMode="auto">
        <a:xfrm>
          <a:off x="0" y="1216997"/>
          <a:ext cx="1784679" cy="288483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/>
            <a:t>supplier</a:t>
          </a:r>
        </a:p>
      </xdr:txBody>
    </xdr:sp>
    <xdr:clientData/>
  </xdr:twoCellAnchor>
  <xdr:twoCellAnchor>
    <xdr:from>
      <xdr:col>2</xdr:col>
      <xdr:colOff>55814</xdr:colOff>
      <xdr:row>4</xdr:row>
      <xdr:rowOff>35226</xdr:rowOff>
    </xdr:from>
    <xdr:to>
      <xdr:col>15</xdr:col>
      <xdr:colOff>428525</xdr:colOff>
      <xdr:row>8</xdr:row>
      <xdr:rowOff>915</xdr:rowOff>
    </xdr:to>
    <xdr:sp macro="" textlink="">
      <xdr:nvSpPr>
        <xdr:cNvPr id="15" name="Freeform 31">
          <a:extLst>
            <a:ext uri="{FF2B5EF4-FFF2-40B4-BE49-F238E27FC236}">
              <a16:creationId xmlns:a16="http://schemas.microsoft.com/office/drawing/2014/main" id="{C155A55A-6CE0-47C2-8168-832D15A0044B}"/>
            </a:ext>
          </a:extLst>
        </xdr:cNvPr>
        <xdr:cNvSpPr>
          <a:spLocks/>
        </xdr:cNvSpPr>
      </xdr:nvSpPr>
      <xdr:spPr bwMode="auto">
        <a:xfrm rot="16016796" flipV="1">
          <a:off x="6244835" y="-3966855"/>
          <a:ext cx="697209" cy="10164411"/>
        </a:xfrm>
        <a:custGeom>
          <a:avLst/>
          <a:gdLst>
            <a:gd name="T0" fmla="*/ 2147483646 w 21"/>
            <a:gd name="T1" fmla="*/ 0 h 347"/>
            <a:gd name="T2" fmla="*/ 0 w 21"/>
            <a:gd name="T3" fmla="*/ 2147483646 h 347"/>
            <a:gd name="T4" fmla="*/ 2147483646 w 21"/>
            <a:gd name="T5" fmla="*/ 2147483646 h 347"/>
            <a:gd name="T6" fmla="*/ 2147483646 w 21"/>
            <a:gd name="T7" fmla="*/ 2147483646 h 347"/>
            <a:gd name="T8" fmla="*/ 0 60000 65536"/>
            <a:gd name="T9" fmla="*/ 0 60000 65536"/>
            <a:gd name="T10" fmla="*/ 0 60000 65536"/>
            <a:gd name="T11" fmla="*/ 0 60000 65536"/>
            <a:gd name="T12" fmla="*/ 0 w 21"/>
            <a:gd name="T13" fmla="*/ 0 h 347"/>
            <a:gd name="T14" fmla="*/ 21 w 21"/>
            <a:gd name="T15" fmla="*/ 347 h 347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" h="347">
              <a:moveTo>
                <a:pt x="18" y="0"/>
              </a:moveTo>
              <a:cubicBezTo>
                <a:pt x="9" y="66"/>
                <a:pt x="0" y="132"/>
                <a:pt x="0" y="162"/>
              </a:cubicBezTo>
              <a:cubicBezTo>
                <a:pt x="0" y="192"/>
                <a:pt x="15" y="148"/>
                <a:pt x="18" y="179"/>
              </a:cubicBezTo>
              <a:cubicBezTo>
                <a:pt x="21" y="210"/>
                <a:pt x="19" y="278"/>
                <a:pt x="17" y="347"/>
              </a:cubicBezTo>
            </a:path>
          </a:pathLst>
        </a:custGeom>
        <a:noFill/>
        <a:ln w="38100" cap="flat" cmpd="sng">
          <a:solidFill>
            <a:srgbClr val="000000"/>
          </a:solidFill>
          <a:prstDash val="solid"/>
          <a:round/>
          <a:headEnd type="none" w="med" len="med"/>
          <a:tailEnd type="triangle" w="lg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56147</xdr:colOff>
      <xdr:row>27</xdr:row>
      <xdr:rowOff>88230</xdr:rowOff>
    </xdr:from>
    <xdr:to>
      <xdr:col>18</xdr:col>
      <xdr:colOff>16042</xdr:colOff>
      <xdr:row>27</xdr:row>
      <xdr:rowOff>96251</xdr:rowOff>
    </xdr:to>
    <xdr:sp macro="" textlink="">
      <xdr:nvSpPr>
        <xdr:cNvPr id="16" name="Line 48">
          <a:extLst>
            <a:ext uri="{FF2B5EF4-FFF2-40B4-BE49-F238E27FC236}">
              <a16:creationId xmlns:a16="http://schemas.microsoft.com/office/drawing/2014/main" id="{4D6DF306-E57F-4F45-94B1-6FA6A270E699}"/>
            </a:ext>
          </a:extLst>
        </xdr:cNvPr>
        <xdr:cNvSpPr>
          <a:spLocks noChangeShapeType="1"/>
        </xdr:cNvSpPr>
      </xdr:nvSpPr>
      <xdr:spPr bwMode="auto">
        <a:xfrm flipV="1">
          <a:off x="12103367" y="5033610"/>
          <a:ext cx="1179095" cy="8021"/>
        </a:xfrm>
        <a:prstGeom prst="line">
          <a:avLst/>
        </a:prstGeom>
        <a:noFill/>
        <a:ln w="152400">
          <a:solidFill>
            <a:srgbClr val="000000"/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67235</xdr:colOff>
      <xdr:row>15</xdr:row>
      <xdr:rowOff>145676</xdr:rowOff>
    </xdr:from>
    <xdr:to>
      <xdr:col>2</xdr:col>
      <xdr:colOff>112059</xdr:colOff>
      <xdr:row>22</xdr:row>
      <xdr:rowOff>134469</xdr:rowOff>
    </xdr:to>
    <xdr:sp macro="" textlink="">
      <xdr:nvSpPr>
        <xdr:cNvPr id="17" name="Line 48">
          <a:extLst>
            <a:ext uri="{FF2B5EF4-FFF2-40B4-BE49-F238E27FC236}">
              <a16:creationId xmlns:a16="http://schemas.microsoft.com/office/drawing/2014/main" id="{32E300AF-D210-4BA9-A030-FBF6D61ABC71}"/>
            </a:ext>
          </a:extLst>
        </xdr:cNvPr>
        <xdr:cNvSpPr>
          <a:spLocks noChangeShapeType="1"/>
        </xdr:cNvSpPr>
      </xdr:nvSpPr>
      <xdr:spPr bwMode="auto">
        <a:xfrm>
          <a:off x="943535" y="2888876"/>
          <a:ext cx="623944" cy="1268953"/>
        </a:xfrm>
        <a:prstGeom prst="line">
          <a:avLst/>
        </a:prstGeom>
        <a:noFill/>
        <a:ln w="152400">
          <a:solidFill>
            <a:srgbClr val="000000"/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33</xdr:col>
      <xdr:colOff>753235</xdr:colOff>
      <xdr:row>20</xdr:row>
      <xdr:rowOff>127635</xdr:rowOff>
    </xdr:from>
    <xdr:to>
      <xdr:col>34</xdr:col>
      <xdr:colOff>515471</xdr:colOff>
      <xdr:row>24</xdr:row>
      <xdr:rowOff>138010</xdr:rowOff>
    </xdr:to>
    <xdr:pic>
      <xdr:nvPicPr>
        <xdr:cNvPr id="18" name="Picture 30" descr="VSM-Icons_Truck-Shipment">
          <a:extLst>
            <a:ext uri="{FF2B5EF4-FFF2-40B4-BE49-F238E27FC236}">
              <a16:creationId xmlns:a16="http://schemas.microsoft.com/office/drawing/2014/main" id="{378C1B86-AD00-46A1-B4E2-AFC2DFCDF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0" t="13792" r="4425" b="12643"/>
        <a:stretch>
          <a:fillRect/>
        </a:stretch>
      </xdr:blipFill>
      <xdr:spPr bwMode="auto">
        <a:xfrm>
          <a:off x="27187015" y="3785235"/>
          <a:ext cx="1210036" cy="7418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450850</xdr:colOff>
      <xdr:row>34</xdr:row>
      <xdr:rowOff>100642</xdr:rowOff>
    </xdr:from>
    <xdr:to>
      <xdr:col>4</xdr:col>
      <xdr:colOff>219074</xdr:colOff>
      <xdr:row>35</xdr:row>
      <xdr:rowOff>82551</xdr:rowOff>
    </xdr:to>
    <xdr:grpSp>
      <xdr:nvGrpSpPr>
        <xdr:cNvPr id="19" name="Group 34">
          <a:extLst>
            <a:ext uri="{FF2B5EF4-FFF2-40B4-BE49-F238E27FC236}">
              <a16:creationId xmlns:a16="http://schemas.microsoft.com/office/drawing/2014/main" id="{DDA79CB9-9993-40BB-B524-53E9BE7842C8}"/>
            </a:ext>
          </a:extLst>
        </xdr:cNvPr>
        <xdr:cNvGrpSpPr>
          <a:grpSpLocks/>
        </xdr:cNvGrpSpPr>
      </xdr:nvGrpSpPr>
      <xdr:grpSpPr bwMode="auto">
        <a:xfrm>
          <a:off x="1331091" y="6406849"/>
          <a:ext cx="2067362" cy="178978"/>
          <a:chOff x="5143500" y="4914900"/>
          <a:chExt cx="1295400" cy="228600"/>
        </a:xfrm>
      </xdr:grpSpPr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A0F87790-FAFD-BE62-0114-21C7B17B59ED}"/>
              </a:ext>
            </a:extLst>
          </xdr:cNvPr>
          <xdr:cNvCxnSpPr/>
        </xdr:nvCxnSpPr>
        <xdr:spPr>
          <a:xfrm rot="5400000">
            <a:off x="50292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3BFD2CD0-8538-EAC3-BBBB-60FC8EA095BE}"/>
              </a:ext>
            </a:extLst>
          </xdr:cNvPr>
          <xdr:cNvCxnSpPr/>
        </xdr:nvCxnSpPr>
        <xdr:spPr>
          <a:xfrm rot="5400000">
            <a:off x="63246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CDF90267-3936-98A5-ABD4-655FACDECDCE}"/>
              </a:ext>
            </a:extLst>
          </xdr:cNvPr>
          <xdr:cNvCxnSpPr/>
        </xdr:nvCxnSpPr>
        <xdr:spPr>
          <a:xfrm flipV="1">
            <a:off x="5143500" y="5124965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121380</xdr:colOff>
      <xdr:row>34</xdr:row>
      <xdr:rowOff>6743</xdr:rowOff>
    </xdr:from>
    <xdr:to>
      <xdr:col>20</xdr:col>
      <xdr:colOff>47203</xdr:colOff>
      <xdr:row>34</xdr:row>
      <xdr:rowOff>20230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6CC212FC-C8E1-48B4-AE56-762498AA699F}"/>
            </a:ext>
          </a:extLst>
        </xdr:cNvPr>
        <xdr:cNvCxnSpPr/>
      </xdr:nvCxnSpPr>
      <xdr:spPr>
        <a:xfrm flipH="1">
          <a:off x="13387800" y="6255143"/>
          <a:ext cx="1663183" cy="13487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228600</xdr:colOff>
      <xdr:row>34</xdr:row>
      <xdr:rowOff>6350</xdr:rowOff>
    </xdr:from>
    <xdr:to>
      <xdr:col>9</xdr:col>
      <xdr:colOff>0</xdr:colOff>
      <xdr:row>35</xdr:row>
      <xdr:rowOff>82550</xdr:rowOff>
    </xdr:to>
    <xdr:grpSp>
      <xdr:nvGrpSpPr>
        <xdr:cNvPr id="24" name="Group 34">
          <a:extLst>
            <a:ext uri="{FF2B5EF4-FFF2-40B4-BE49-F238E27FC236}">
              <a16:creationId xmlns:a16="http://schemas.microsoft.com/office/drawing/2014/main" id="{2D9FCCCC-6C3A-4747-B9B3-9716F29DBC61}"/>
            </a:ext>
          </a:extLst>
        </xdr:cNvPr>
        <xdr:cNvGrpSpPr>
          <a:grpSpLocks/>
        </xdr:cNvGrpSpPr>
      </xdr:nvGrpSpPr>
      <xdr:grpSpPr bwMode="auto">
        <a:xfrm>
          <a:off x="4734910" y="6312557"/>
          <a:ext cx="2136228" cy="273269"/>
          <a:chOff x="5143500" y="4914900"/>
          <a:chExt cx="1295400" cy="228600"/>
        </a:xfrm>
      </xdr:grpSpPr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C86FC0D2-06DB-B0AB-6D94-24BB3F12B664}"/>
              </a:ext>
            </a:extLst>
          </xdr:cNvPr>
          <xdr:cNvCxnSpPr/>
        </xdr:nvCxnSpPr>
        <xdr:spPr>
          <a:xfrm rot="5400000">
            <a:off x="50292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8075B231-B960-51C4-4BC1-D233E53CDFFF}"/>
              </a:ext>
            </a:extLst>
          </xdr:cNvPr>
          <xdr:cNvCxnSpPr/>
        </xdr:nvCxnSpPr>
        <xdr:spPr>
          <a:xfrm rot="5400000">
            <a:off x="63246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D77146B4-BAD7-C549-3E83-FEB83F3093BA}"/>
              </a:ext>
            </a:extLst>
          </xdr:cNvPr>
          <xdr:cNvCxnSpPr/>
        </xdr:nvCxnSpPr>
        <xdr:spPr>
          <a:xfrm flipV="1">
            <a:off x="5143500" y="5124965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87097</xdr:colOff>
      <xdr:row>34</xdr:row>
      <xdr:rowOff>13048</xdr:rowOff>
    </xdr:from>
    <xdr:to>
      <xdr:col>13</xdr:col>
      <xdr:colOff>487147</xdr:colOff>
      <xdr:row>35</xdr:row>
      <xdr:rowOff>86414</xdr:rowOff>
    </xdr:to>
    <xdr:grpSp>
      <xdr:nvGrpSpPr>
        <xdr:cNvPr id="28" name="Group 34">
          <a:extLst>
            <a:ext uri="{FF2B5EF4-FFF2-40B4-BE49-F238E27FC236}">
              <a16:creationId xmlns:a16="http://schemas.microsoft.com/office/drawing/2014/main" id="{CE45E24F-F307-4F67-90C4-A72A554E2B1A}"/>
            </a:ext>
          </a:extLst>
        </xdr:cNvPr>
        <xdr:cNvGrpSpPr>
          <a:grpSpLocks/>
        </xdr:cNvGrpSpPr>
      </xdr:nvGrpSpPr>
      <xdr:grpSpPr bwMode="auto">
        <a:xfrm>
          <a:off x="8574200" y="6319255"/>
          <a:ext cx="1792671" cy="270435"/>
          <a:chOff x="5143500" y="4914900"/>
          <a:chExt cx="1295400" cy="228600"/>
        </a:xfrm>
      </xdr:grpSpPr>
      <xdr:cxnSp macro="">
        <xdr:nvCxnSpPr>
          <xdr:cNvPr id="29" name="Straight Connector 28">
            <a:extLst>
              <a:ext uri="{FF2B5EF4-FFF2-40B4-BE49-F238E27FC236}">
                <a16:creationId xmlns:a16="http://schemas.microsoft.com/office/drawing/2014/main" id="{AD59DE57-1CEC-9D2E-FB47-68E08F5CC05A}"/>
              </a:ext>
            </a:extLst>
          </xdr:cNvPr>
          <xdr:cNvCxnSpPr/>
        </xdr:nvCxnSpPr>
        <xdr:spPr>
          <a:xfrm rot="5400000">
            <a:off x="50292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Straight Connector 29">
            <a:extLst>
              <a:ext uri="{FF2B5EF4-FFF2-40B4-BE49-F238E27FC236}">
                <a16:creationId xmlns:a16="http://schemas.microsoft.com/office/drawing/2014/main" id="{12F5E644-5300-FEC5-4087-C1E964E38FD5}"/>
              </a:ext>
            </a:extLst>
          </xdr:cNvPr>
          <xdr:cNvCxnSpPr/>
        </xdr:nvCxnSpPr>
        <xdr:spPr>
          <a:xfrm rot="5400000">
            <a:off x="63246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A7E4865A-D690-28BE-B96F-6469AC11E593}"/>
              </a:ext>
            </a:extLst>
          </xdr:cNvPr>
          <xdr:cNvCxnSpPr/>
        </xdr:nvCxnSpPr>
        <xdr:spPr>
          <a:xfrm flipV="1">
            <a:off x="5143500" y="5124965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552450</xdr:colOff>
      <xdr:row>34</xdr:row>
      <xdr:rowOff>6350</xdr:rowOff>
    </xdr:from>
    <xdr:to>
      <xdr:col>18</xdr:col>
      <xdr:colOff>121380</xdr:colOff>
      <xdr:row>35</xdr:row>
      <xdr:rowOff>82550</xdr:rowOff>
    </xdr:to>
    <xdr:grpSp>
      <xdr:nvGrpSpPr>
        <xdr:cNvPr id="32" name="Group 34">
          <a:extLst>
            <a:ext uri="{FF2B5EF4-FFF2-40B4-BE49-F238E27FC236}">
              <a16:creationId xmlns:a16="http://schemas.microsoft.com/office/drawing/2014/main" id="{E5D7D419-63E6-4206-88CB-CD36F63FC312}"/>
            </a:ext>
          </a:extLst>
        </xdr:cNvPr>
        <xdr:cNvGrpSpPr>
          <a:grpSpLocks/>
        </xdr:cNvGrpSpPr>
      </xdr:nvGrpSpPr>
      <xdr:grpSpPr bwMode="auto">
        <a:xfrm>
          <a:off x="11772243" y="6312557"/>
          <a:ext cx="1579034" cy="273269"/>
          <a:chOff x="5143500" y="4914900"/>
          <a:chExt cx="1295400" cy="228600"/>
        </a:xfrm>
      </xdr:grpSpPr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CC5F039E-3910-D640-7D9D-CA214DF2BC25}"/>
              </a:ext>
            </a:extLst>
          </xdr:cNvPr>
          <xdr:cNvCxnSpPr/>
        </xdr:nvCxnSpPr>
        <xdr:spPr>
          <a:xfrm rot="5400000">
            <a:off x="50292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0DCA9A5B-9A8E-042B-DCF0-1C04FAB2989D}"/>
              </a:ext>
            </a:extLst>
          </xdr:cNvPr>
          <xdr:cNvCxnSpPr/>
        </xdr:nvCxnSpPr>
        <xdr:spPr>
          <a:xfrm rot="5400000">
            <a:off x="63246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80377423-99C6-6DE9-EA16-532120631842}"/>
              </a:ext>
            </a:extLst>
          </xdr:cNvPr>
          <xdr:cNvCxnSpPr/>
        </xdr:nvCxnSpPr>
        <xdr:spPr>
          <a:xfrm flipV="1">
            <a:off x="5143500" y="5124965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241300</xdr:colOff>
      <xdr:row>34</xdr:row>
      <xdr:rowOff>0</xdr:rowOff>
    </xdr:from>
    <xdr:to>
      <xdr:col>6</xdr:col>
      <xdr:colOff>260350</xdr:colOff>
      <xdr:row>35</xdr:row>
      <xdr:rowOff>76200</xdr:rowOff>
    </xdr:to>
    <xdr:grpSp>
      <xdr:nvGrpSpPr>
        <xdr:cNvPr id="36" name="Group 36">
          <a:extLst>
            <a:ext uri="{FF2B5EF4-FFF2-40B4-BE49-F238E27FC236}">
              <a16:creationId xmlns:a16="http://schemas.microsoft.com/office/drawing/2014/main" id="{F5FE8B73-3A01-4861-9E95-C08B00D9BDD3}"/>
            </a:ext>
          </a:extLst>
        </xdr:cNvPr>
        <xdr:cNvGrpSpPr>
          <a:grpSpLocks/>
        </xdr:cNvGrpSpPr>
      </xdr:nvGrpSpPr>
      <xdr:grpSpPr bwMode="auto">
        <a:xfrm rot="10800000">
          <a:off x="3420679" y="6306207"/>
          <a:ext cx="1345981" cy="273269"/>
          <a:chOff x="5143500" y="4914900"/>
          <a:chExt cx="1295400" cy="228600"/>
        </a:xfrm>
      </xdr:grpSpPr>
      <xdr:cxnSp macro="">
        <xdr:nvCxnSpPr>
          <xdr:cNvPr id="37" name="Straight Connector 36">
            <a:extLst>
              <a:ext uri="{FF2B5EF4-FFF2-40B4-BE49-F238E27FC236}">
                <a16:creationId xmlns:a16="http://schemas.microsoft.com/office/drawing/2014/main" id="{49AF5BC5-F7CE-7A5C-FD2B-F9FEFA956BC6}"/>
              </a:ext>
            </a:extLst>
          </xdr:cNvPr>
          <xdr:cNvCxnSpPr/>
        </xdr:nvCxnSpPr>
        <xdr:spPr>
          <a:xfrm rot="5400000">
            <a:off x="5067114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" name="Straight Connector 37">
            <a:extLst>
              <a:ext uri="{FF2B5EF4-FFF2-40B4-BE49-F238E27FC236}">
                <a16:creationId xmlns:a16="http://schemas.microsoft.com/office/drawing/2014/main" id="{DE9A1014-0D85-F3AF-F39F-2D135EA89A1C}"/>
              </a:ext>
            </a:extLst>
          </xdr:cNvPr>
          <xdr:cNvCxnSpPr/>
        </xdr:nvCxnSpPr>
        <xdr:spPr>
          <a:xfrm rot="5400000">
            <a:off x="6362514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F45470B2-CCC5-67F9-CAA9-AC2C2791E7D0}"/>
              </a:ext>
            </a:extLst>
          </xdr:cNvPr>
          <xdr:cNvCxnSpPr/>
        </xdr:nvCxnSpPr>
        <xdr:spPr>
          <a:xfrm flipV="1">
            <a:off x="5187733" y="5112608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19050</xdr:colOff>
      <xdr:row>34</xdr:row>
      <xdr:rowOff>6350</xdr:rowOff>
    </xdr:from>
    <xdr:to>
      <xdr:col>11</xdr:col>
      <xdr:colOff>120650</xdr:colOff>
      <xdr:row>35</xdr:row>
      <xdr:rowOff>76200</xdr:rowOff>
    </xdr:to>
    <xdr:grpSp>
      <xdr:nvGrpSpPr>
        <xdr:cNvPr id="40" name="Group 36">
          <a:extLst>
            <a:ext uri="{FF2B5EF4-FFF2-40B4-BE49-F238E27FC236}">
              <a16:creationId xmlns:a16="http://schemas.microsoft.com/office/drawing/2014/main" id="{8FC0FFD6-4690-4822-A2C7-90F0A9F0DAF3}"/>
            </a:ext>
          </a:extLst>
        </xdr:cNvPr>
        <xdr:cNvGrpSpPr>
          <a:grpSpLocks/>
        </xdr:cNvGrpSpPr>
      </xdr:nvGrpSpPr>
      <xdr:grpSpPr bwMode="auto">
        <a:xfrm rot="10800000">
          <a:off x="6890188" y="6312557"/>
          <a:ext cx="1717565" cy="266919"/>
          <a:chOff x="5143500" y="4914900"/>
          <a:chExt cx="1295400" cy="228600"/>
        </a:xfrm>
      </xdr:grpSpPr>
      <xdr:cxnSp macro="">
        <xdr:nvCxnSpPr>
          <xdr:cNvPr id="41" name="Straight Connector 40">
            <a:extLst>
              <a:ext uri="{FF2B5EF4-FFF2-40B4-BE49-F238E27FC236}">
                <a16:creationId xmlns:a16="http://schemas.microsoft.com/office/drawing/2014/main" id="{506B1503-CD6A-3BDC-E31A-6FC89BD8FDEC}"/>
              </a:ext>
            </a:extLst>
          </xdr:cNvPr>
          <xdr:cNvCxnSpPr/>
        </xdr:nvCxnSpPr>
        <xdr:spPr>
          <a:xfrm rot="5400000">
            <a:off x="5064853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" name="Straight Connector 41">
            <a:extLst>
              <a:ext uri="{FF2B5EF4-FFF2-40B4-BE49-F238E27FC236}">
                <a16:creationId xmlns:a16="http://schemas.microsoft.com/office/drawing/2014/main" id="{71EA140C-778F-0C08-8424-E6C2EB38CA06}"/>
              </a:ext>
            </a:extLst>
          </xdr:cNvPr>
          <xdr:cNvCxnSpPr/>
        </xdr:nvCxnSpPr>
        <xdr:spPr>
          <a:xfrm rot="5400000">
            <a:off x="6366195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3" name="Straight Connector 42">
            <a:extLst>
              <a:ext uri="{FF2B5EF4-FFF2-40B4-BE49-F238E27FC236}">
                <a16:creationId xmlns:a16="http://schemas.microsoft.com/office/drawing/2014/main" id="{3F70CB5E-6B6C-0A6F-5E22-95E96AADCAA4}"/>
              </a:ext>
            </a:extLst>
          </xdr:cNvPr>
          <xdr:cNvCxnSpPr/>
        </xdr:nvCxnSpPr>
        <xdr:spPr>
          <a:xfrm flipV="1">
            <a:off x="5185095" y="5124450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455345</xdr:colOff>
      <xdr:row>34</xdr:row>
      <xdr:rowOff>1465</xdr:rowOff>
    </xdr:from>
    <xdr:to>
      <xdr:col>15</xdr:col>
      <xdr:colOff>547562</xdr:colOff>
      <xdr:row>35</xdr:row>
      <xdr:rowOff>73267</xdr:rowOff>
    </xdr:to>
    <xdr:grpSp>
      <xdr:nvGrpSpPr>
        <xdr:cNvPr id="44" name="Group 36">
          <a:extLst>
            <a:ext uri="{FF2B5EF4-FFF2-40B4-BE49-F238E27FC236}">
              <a16:creationId xmlns:a16="http://schemas.microsoft.com/office/drawing/2014/main" id="{EA21619D-AA61-41E3-B0E2-B2E2F5E82BE1}"/>
            </a:ext>
          </a:extLst>
        </xdr:cNvPr>
        <xdr:cNvGrpSpPr>
          <a:grpSpLocks/>
        </xdr:cNvGrpSpPr>
      </xdr:nvGrpSpPr>
      <xdr:grpSpPr bwMode="auto">
        <a:xfrm rot="10800000">
          <a:off x="10335069" y="6307672"/>
          <a:ext cx="1432286" cy="268871"/>
          <a:chOff x="5186072" y="4901787"/>
          <a:chExt cx="1295400" cy="237342"/>
        </a:xfrm>
      </xdr:grpSpPr>
      <xdr:cxnSp macro="">
        <xdr:nvCxnSpPr>
          <xdr:cNvPr id="45" name="Straight Connector 44">
            <a:extLst>
              <a:ext uri="{FF2B5EF4-FFF2-40B4-BE49-F238E27FC236}">
                <a16:creationId xmlns:a16="http://schemas.microsoft.com/office/drawing/2014/main" id="{A21E5517-71EC-52A3-4C9B-349EFCCC0357}"/>
              </a:ext>
            </a:extLst>
          </xdr:cNvPr>
          <xdr:cNvCxnSpPr/>
        </xdr:nvCxnSpPr>
        <xdr:spPr>
          <a:xfrm rot="5400000">
            <a:off x="5093916" y="5016087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" name="Straight Connector 45">
            <a:extLst>
              <a:ext uri="{FF2B5EF4-FFF2-40B4-BE49-F238E27FC236}">
                <a16:creationId xmlns:a16="http://schemas.microsoft.com/office/drawing/2014/main" id="{B2320A8A-8671-C3C7-4749-BCA6A1E61183}"/>
              </a:ext>
            </a:extLst>
          </xdr:cNvPr>
          <xdr:cNvCxnSpPr/>
        </xdr:nvCxnSpPr>
        <xdr:spPr>
          <a:xfrm rot="5400000">
            <a:off x="6355007" y="5024829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A988D261-9AF1-7D8C-8E9E-C0C2458C9F43}"/>
              </a:ext>
            </a:extLst>
          </xdr:cNvPr>
          <xdr:cNvCxnSpPr/>
        </xdr:nvCxnSpPr>
        <xdr:spPr>
          <a:xfrm flipV="1">
            <a:off x="5186072" y="5124450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178100</xdr:colOff>
      <xdr:row>15</xdr:row>
      <xdr:rowOff>126317</xdr:rowOff>
    </xdr:from>
    <xdr:to>
      <xdr:col>3</xdr:col>
      <xdr:colOff>142524</xdr:colOff>
      <xdr:row>17</xdr:row>
      <xdr:rowOff>75514</xdr:rowOff>
    </xdr:to>
    <xdr:sp macro="" textlink="">
      <xdr:nvSpPr>
        <xdr:cNvPr id="48" name="TextBox 5">
          <a:extLst>
            <a:ext uri="{FF2B5EF4-FFF2-40B4-BE49-F238E27FC236}">
              <a16:creationId xmlns:a16="http://schemas.microsoft.com/office/drawing/2014/main" id="{B0707613-1BF6-4F60-8F27-BD85A5AB3E51}"/>
            </a:ext>
          </a:extLst>
        </xdr:cNvPr>
        <xdr:cNvSpPr txBox="1"/>
      </xdr:nvSpPr>
      <xdr:spPr bwMode="auto">
        <a:xfrm>
          <a:off x="1054400" y="2869517"/>
          <a:ext cx="1534144" cy="314957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/>
            <a:t>5 Hour</a:t>
          </a:r>
          <a:r>
            <a:rPr lang="en-US" sz="1200" b="1" baseline="0"/>
            <a:t> </a:t>
          </a:r>
          <a:endParaRPr lang="en-US" sz="1200" b="1"/>
        </a:p>
      </xdr:txBody>
    </xdr:sp>
    <xdr:clientData/>
  </xdr:twoCellAnchor>
  <xdr:twoCellAnchor>
    <xdr:from>
      <xdr:col>0</xdr:col>
      <xdr:colOff>18083</xdr:colOff>
      <xdr:row>34</xdr:row>
      <xdr:rowOff>3012</xdr:rowOff>
    </xdr:from>
    <xdr:to>
      <xdr:col>1</xdr:col>
      <xdr:colOff>437736</xdr:colOff>
      <xdr:row>35</xdr:row>
      <xdr:rowOff>71782</xdr:rowOff>
    </xdr:to>
    <xdr:grpSp>
      <xdr:nvGrpSpPr>
        <xdr:cNvPr id="49" name="Group 34">
          <a:extLst>
            <a:ext uri="{FF2B5EF4-FFF2-40B4-BE49-F238E27FC236}">
              <a16:creationId xmlns:a16="http://schemas.microsoft.com/office/drawing/2014/main" id="{CC0D753E-A313-41A3-BC86-8BB769CC8FFE}"/>
            </a:ext>
          </a:extLst>
        </xdr:cNvPr>
        <xdr:cNvGrpSpPr>
          <a:grpSpLocks/>
        </xdr:cNvGrpSpPr>
      </xdr:nvGrpSpPr>
      <xdr:grpSpPr bwMode="auto">
        <a:xfrm rot="10800000">
          <a:off x="18083" y="6309219"/>
          <a:ext cx="1299894" cy="265839"/>
          <a:chOff x="5143500" y="4914900"/>
          <a:chExt cx="1295400" cy="228600"/>
        </a:xfrm>
      </xdr:grpSpPr>
      <xdr:cxnSp macro="">
        <xdr:nvCxnSpPr>
          <xdr:cNvPr id="50" name="Straight Connector 49">
            <a:extLst>
              <a:ext uri="{FF2B5EF4-FFF2-40B4-BE49-F238E27FC236}">
                <a16:creationId xmlns:a16="http://schemas.microsoft.com/office/drawing/2014/main" id="{45E6EBA4-D8B2-3823-FC01-A7F2AC692601}"/>
              </a:ext>
            </a:extLst>
          </xdr:cNvPr>
          <xdr:cNvCxnSpPr/>
        </xdr:nvCxnSpPr>
        <xdr:spPr>
          <a:xfrm rot="5400000">
            <a:off x="50292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1" name="Straight Connector 50">
            <a:extLst>
              <a:ext uri="{FF2B5EF4-FFF2-40B4-BE49-F238E27FC236}">
                <a16:creationId xmlns:a16="http://schemas.microsoft.com/office/drawing/2014/main" id="{C5D009B3-8B74-1C85-F65F-80D12E0281A6}"/>
              </a:ext>
            </a:extLst>
          </xdr:cNvPr>
          <xdr:cNvCxnSpPr/>
        </xdr:nvCxnSpPr>
        <xdr:spPr>
          <a:xfrm rot="5400000">
            <a:off x="63246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2" name="Straight Connector 51">
            <a:extLst>
              <a:ext uri="{FF2B5EF4-FFF2-40B4-BE49-F238E27FC236}">
                <a16:creationId xmlns:a16="http://schemas.microsoft.com/office/drawing/2014/main" id="{CF842AD7-DFE3-EC88-A805-ADE9FA4D1E7A}"/>
              </a:ext>
            </a:extLst>
          </xdr:cNvPr>
          <xdr:cNvCxnSpPr/>
        </xdr:nvCxnSpPr>
        <xdr:spPr>
          <a:xfrm flipV="1">
            <a:off x="5143500" y="5124965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40105</xdr:colOff>
      <xdr:row>39</xdr:row>
      <xdr:rowOff>20052</xdr:rowOff>
    </xdr:from>
    <xdr:to>
      <xdr:col>31</xdr:col>
      <xdr:colOff>628650</xdr:colOff>
      <xdr:row>39</xdr:row>
      <xdr:rowOff>114300</xdr:rowOff>
    </xdr:to>
    <xdr:sp macro="" textlink="">
      <xdr:nvSpPr>
        <xdr:cNvPr id="53" name="Line 48">
          <a:extLst>
            <a:ext uri="{FF2B5EF4-FFF2-40B4-BE49-F238E27FC236}">
              <a16:creationId xmlns:a16="http://schemas.microsoft.com/office/drawing/2014/main" id="{10D6D39F-80B1-4753-BB4E-7E97163C0A46}"/>
            </a:ext>
          </a:extLst>
        </xdr:cNvPr>
        <xdr:cNvSpPr>
          <a:spLocks noChangeShapeType="1"/>
        </xdr:cNvSpPr>
      </xdr:nvSpPr>
      <xdr:spPr bwMode="auto">
        <a:xfrm>
          <a:off x="40105" y="7205712"/>
          <a:ext cx="25147805" cy="94248"/>
        </a:xfrm>
        <a:prstGeom prst="line">
          <a:avLst/>
        </a:prstGeom>
        <a:noFill/>
        <a:ln w="152400">
          <a:solidFill>
            <a:schemeClr val="bg2">
              <a:lumMod val="75000"/>
            </a:schemeClr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26973</xdr:colOff>
      <xdr:row>34</xdr:row>
      <xdr:rowOff>28331</xdr:rowOff>
    </xdr:from>
    <xdr:to>
      <xdr:col>22</xdr:col>
      <xdr:colOff>222531</xdr:colOff>
      <xdr:row>35</xdr:row>
      <xdr:rowOff>104531</xdr:rowOff>
    </xdr:to>
    <xdr:grpSp>
      <xdr:nvGrpSpPr>
        <xdr:cNvPr id="54" name="Group 34">
          <a:extLst>
            <a:ext uri="{FF2B5EF4-FFF2-40B4-BE49-F238E27FC236}">
              <a16:creationId xmlns:a16="http://schemas.microsoft.com/office/drawing/2014/main" id="{A2B40BFA-8542-4A74-BB2E-6BFFE86106D8}"/>
            </a:ext>
          </a:extLst>
        </xdr:cNvPr>
        <xdr:cNvGrpSpPr>
          <a:grpSpLocks/>
        </xdr:cNvGrpSpPr>
      </xdr:nvGrpSpPr>
      <xdr:grpSpPr bwMode="auto">
        <a:xfrm>
          <a:off x="14991076" y="6334538"/>
          <a:ext cx="1404248" cy="273269"/>
          <a:chOff x="5143500" y="4914900"/>
          <a:chExt cx="1295400" cy="228600"/>
        </a:xfrm>
      </xdr:grpSpPr>
      <xdr:cxnSp macro="">
        <xdr:nvCxnSpPr>
          <xdr:cNvPr id="55" name="Straight Connector 54">
            <a:extLst>
              <a:ext uri="{FF2B5EF4-FFF2-40B4-BE49-F238E27FC236}">
                <a16:creationId xmlns:a16="http://schemas.microsoft.com/office/drawing/2014/main" id="{91375C2D-9E4A-36B7-6C83-F4F08EBE6C04}"/>
              </a:ext>
            </a:extLst>
          </xdr:cNvPr>
          <xdr:cNvCxnSpPr/>
        </xdr:nvCxnSpPr>
        <xdr:spPr>
          <a:xfrm rot="5400000">
            <a:off x="50292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" name="Straight Connector 55">
            <a:extLst>
              <a:ext uri="{FF2B5EF4-FFF2-40B4-BE49-F238E27FC236}">
                <a16:creationId xmlns:a16="http://schemas.microsoft.com/office/drawing/2014/main" id="{4C73D4CB-745D-00F1-7ECA-900F2B610DA1}"/>
              </a:ext>
            </a:extLst>
          </xdr:cNvPr>
          <xdr:cNvCxnSpPr/>
        </xdr:nvCxnSpPr>
        <xdr:spPr>
          <a:xfrm rot="5400000">
            <a:off x="63246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" name="Straight Connector 56">
            <a:extLst>
              <a:ext uri="{FF2B5EF4-FFF2-40B4-BE49-F238E27FC236}">
                <a16:creationId xmlns:a16="http://schemas.microsoft.com/office/drawing/2014/main" id="{4F8680FB-DF17-5F2B-17DD-DC414DF27500}"/>
              </a:ext>
            </a:extLst>
          </xdr:cNvPr>
          <xdr:cNvCxnSpPr/>
        </xdr:nvCxnSpPr>
        <xdr:spPr>
          <a:xfrm flipV="1">
            <a:off x="5143500" y="5124965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224118</xdr:colOff>
      <xdr:row>5</xdr:row>
      <xdr:rowOff>104593</xdr:rowOff>
    </xdr:from>
    <xdr:to>
      <xdr:col>16</xdr:col>
      <xdr:colOff>388473</xdr:colOff>
      <xdr:row>23</xdr:row>
      <xdr:rowOff>33616</xdr:rowOff>
    </xdr:to>
    <xdr:sp macro="" textlink="">
      <xdr:nvSpPr>
        <xdr:cNvPr id="58" name="Line 30">
          <a:extLst>
            <a:ext uri="{FF2B5EF4-FFF2-40B4-BE49-F238E27FC236}">
              <a16:creationId xmlns:a16="http://schemas.microsoft.com/office/drawing/2014/main" id="{B6812843-4636-4414-BFAD-6F52A00A7100}"/>
            </a:ext>
          </a:extLst>
        </xdr:cNvPr>
        <xdr:cNvSpPr>
          <a:spLocks noChangeShapeType="1"/>
        </xdr:cNvSpPr>
      </xdr:nvSpPr>
      <xdr:spPr bwMode="auto">
        <a:xfrm rot="-5400000" flipH="1" flipV="1">
          <a:off x="8971434" y="775597"/>
          <a:ext cx="3220863" cy="3707655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493057</xdr:colOff>
      <xdr:row>5</xdr:row>
      <xdr:rowOff>90213</xdr:rowOff>
    </xdr:from>
    <xdr:to>
      <xdr:col>16</xdr:col>
      <xdr:colOff>460925</xdr:colOff>
      <xdr:row>23</xdr:row>
      <xdr:rowOff>11206</xdr:rowOff>
    </xdr:to>
    <xdr:sp macro="" textlink="">
      <xdr:nvSpPr>
        <xdr:cNvPr id="59" name="Line 30">
          <a:extLst>
            <a:ext uri="{FF2B5EF4-FFF2-40B4-BE49-F238E27FC236}">
              <a16:creationId xmlns:a16="http://schemas.microsoft.com/office/drawing/2014/main" id="{C5C4336A-2B2D-42FC-8F96-C1F448840DC9}"/>
            </a:ext>
          </a:extLst>
        </xdr:cNvPr>
        <xdr:cNvSpPr>
          <a:spLocks noChangeShapeType="1"/>
        </xdr:cNvSpPr>
      </xdr:nvSpPr>
      <xdr:spPr bwMode="auto">
        <a:xfrm rot="16200000" flipH="1" flipV="1">
          <a:off x="7629764" y="-660934"/>
          <a:ext cx="3212833" cy="6543928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728382</xdr:colOff>
      <xdr:row>5</xdr:row>
      <xdr:rowOff>111185</xdr:rowOff>
    </xdr:from>
    <xdr:to>
      <xdr:col>16</xdr:col>
      <xdr:colOff>419507</xdr:colOff>
      <xdr:row>22</xdr:row>
      <xdr:rowOff>89650</xdr:rowOff>
    </xdr:to>
    <xdr:sp macro="" textlink="">
      <xdr:nvSpPr>
        <xdr:cNvPr id="60" name="Line 30">
          <a:extLst>
            <a:ext uri="{FF2B5EF4-FFF2-40B4-BE49-F238E27FC236}">
              <a16:creationId xmlns:a16="http://schemas.microsoft.com/office/drawing/2014/main" id="{858524A5-C8B8-48B1-AB87-83F407C9FA0B}"/>
            </a:ext>
          </a:extLst>
        </xdr:cNvPr>
        <xdr:cNvSpPr>
          <a:spLocks noChangeShapeType="1"/>
        </xdr:cNvSpPr>
      </xdr:nvSpPr>
      <xdr:spPr bwMode="auto">
        <a:xfrm rot="16200000" flipH="1" flipV="1">
          <a:off x="10307832" y="1954115"/>
          <a:ext cx="3087425" cy="1230365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385011</xdr:colOff>
      <xdr:row>15</xdr:row>
      <xdr:rowOff>128336</xdr:rowOff>
    </xdr:from>
    <xdr:to>
      <xdr:col>35</xdr:col>
      <xdr:colOff>288757</xdr:colOff>
      <xdr:row>20</xdr:row>
      <xdr:rowOff>112293</xdr:rowOff>
    </xdr:to>
    <xdr:sp macro="" textlink="">
      <xdr:nvSpPr>
        <xdr:cNvPr id="61" name="Line 48">
          <a:extLst>
            <a:ext uri="{FF2B5EF4-FFF2-40B4-BE49-F238E27FC236}">
              <a16:creationId xmlns:a16="http://schemas.microsoft.com/office/drawing/2014/main" id="{FD79534C-923C-4DBD-91AD-4ED841F6B121}"/>
            </a:ext>
          </a:extLst>
        </xdr:cNvPr>
        <xdr:cNvSpPr>
          <a:spLocks noChangeShapeType="1"/>
        </xdr:cNvSpPr>
      </xdr:nvSpPr>
      <xdr:spPr bwMode="auto">
        <a:xfrm flipV="1">
          <a:off x="28266591" y="2871536"/>
          <a:ext cx="894346" cy="898357"/>
        </a:xfrm>
        <a:prstGeom prst="line">
          <a:avLst/>
        </a:prstGeom>
        <a:noFill/>
        <a:ln w="152400">
          <a:solidFill>
            <a:srgbClr val="000000"/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83004</xdr:colOff>
      <xdr:row>3</xdr:row>
      <xdr:rowOff>174172</xdr:rowOff>
    </xdr:from>
    <xdr:to>
      <xdr:col>6</xdr:col>
      <xdr:colOff>363039</xdr:colOff>
      <xdr:row>5</xdr:row>
      <xdr:rowOff>91263</xdr:rowOff>
    </xdr:to>
    <xdr:sp macro="" textlink="">
      <xdr:nvSpPr>
        <xdr:cNvPr id="62" name="TextBox 5">
          <a:extLst>
            <a:ext uri="{FF2B5EF4-FFF2-40B4-BE49-F238E27FC236}">
              <a16:creationId xmlns:a16="http://schemas.microsoft.com/office/drawing/2014/main" id="{D0FFA645-4701-449D-8AE1-FA278CDE28BA}"/>
            </a:ext>
          </a:extLst>
        </xdr:cNvPr>
        <xdr:cNvSpPr txBox="1"/>
      </xdr:nvSpPr>
      <xdr:spPr bwMode="auto">
        <a:xfrm>
          <a:off x="3268164" y="722812"/>
          <a:ext cx="1613535" cy="282851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200" b="1"/>
        </a:p>
      </xdr:txBody>
    </xdr:sp>
    <xdr:clientData/>
  </xdr:twoCellAnchor>
  <xdr:twoCellAnchor>
    <xdr:from>
      <xdr:col>12</xdr:col>
      <xdr:colOff>88232</xdr:colOff>
      <xdr:row>27</xdr:row>
      <xdr:rowOff>112295</xdr:rowOff>
    </xdr:from>
    <xdr:to>
      <xdr:col>13</xdr:col>
      <xdr:colOff>601579</xdr:colOff>
      <xdr:row>27</xdr:row>
      <xdr:rowOff>112296</xdr:rowOff>
    </xdr:to>
    <xdr:sp macro="" textlink="">
      <xdr:nvSpPr>
        <xdr:cNvPr id="63" name="Line 48">
          <a:extLst>
            <a:ext uri="{FF2B5EF4-FFF2-40B4-BE49-F238E27FC236}">
              <a16:creationId xmlns:a16="http://schemas.microsoft.com/office/drawing/2014/main" id="{62105613-9009-4DD6-AC48-D30ED72923DE}"/>
            </a:ext>
          </a:extLst>
        </xdr:cNvPr>
        <xdr:cNvSpPr>
          <a:spLocks noChangeShapeType="1"/>
        </xdr:cNvSpPr>
      </xdr:nvSpPr>
      <xdr:spPr bwMode="auto">
        <a:xfrm>
          <a:off x="9377012" y="5057675"/>
          <a:ext cx="1122947" cy="1"/>
        </a:xfrm>
        <a:prstGeom prst="line">
          <a:avLst/>
        </a:prstGeom>
        <a:noFill/>
        <a:ln w="152400">
          <a:solidFill>
            <a:srgbClr val="000000"/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333706</xdr:colOff>
      <xdr:row>22</xdr:row>
      <xdr:rowOff>15103</xdr:rowOff>
    </xdr:from>
    <xdr:to>
      <xdr:col>29</xdr:col>
      <xdr:colOff>512138</xdr:colOff>
      <xdr:row>25</xdr:row>
      <xdr:rowOff>23565</xdr:rowOff>
    </xdr:to>
    <xdr:pic>
      <xdr:nvPicPr>
        <xdr:cNvPr id="64" name="Picture 5" descr="VSM-Icons_Inventory">
          <a:extLst>
            <a:ext uri="{FF2B5EF4-FFF2-40B4-BE49-F238E27FC236}">
              <a16:creationId xmlns:a16="http://schemas.microsoft.com/office/drawing/2014/main" id="{E280B910-C92B-4F01-ABFB-3F2C3AD4D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35" t="5746" r="9735" b="3448"/>
        <a:stretch>
          <a:fillRect/>
        </a:stretch>
      </xdr:blipFill>
      <xdr:spPr bwMode="auto">
        <a:xfrm>
          <a:off x="21654466" y="4038463"/>
          <a:ext cx="864232" cy="557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323850</xdr:colOff>
      <xdr:row>18</xdr:row>
      <xdr:rowOff>133350</xdr:rowOff>
    </xdr:from>
    <xdr:to>
      <xdr:col>24</xdr:col>
      <xdr:colOff>259699</xdr:colOff>
      <xdr:row>20</xdr:row>
      <xdr:rowOff>82547</xdr:rowOff>
    </xdr:to>
    <xdr:sp macro="" textlink="">
      <xdr:nvSpPr>
        <xdr:cNvPr id="65" name="TextBox 5">
          <a:extLst>
            <a:ext uri="{FF2B5EF4-FFF2-40B4-BE49-F238E27FC236}">
              <a16:creationId xmlns:a16="http://schemas.microsoft.com/office/drawing/2014/main" id="{E506FFF6-9BBF-47F0-89A0-FDA0B86924F5}"/>
            </a:ext>
          </a:extLst>
        </xdr:cNvPr>
        <xdr:cNvSpPr txBox="1"/>
      </xdr:nvSpPr>
      <xdr:spPr bwMode="auto">
        <a:xfrm>
          <a:off x="16546830" y="3425190"/>
          <a:ext cx="1810369" cy="314957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200" b="1"/>
        </a:p>
      </xdr:txBody>
    </xdr:sp>
    <xdr:clientData/>
  </xdr:twoCellAnchor>
  <xdr:twoCellAnchor>
    <xdr:from>
      <xdr:col>22</xdr:col>
      <xdr:colOff>229274</xdr:colOff>
      <xdr:row>34</xdr:row>
      <xdr:rowOff>20053</xdr:rowOff>
    </xdr:from>
    <xdr:to>
      <xdr:col>24</xdr:col>
      <xdr:colOff>210552</xdr:colOff>
      <xdr:row>34</xdr:row>
      <xdr:rowOff>26973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C3AA20A7-E2B4-4B8C-B4D2-6037426E26BD}"/>
            </a:ext>
          </a:extLst>
        </xdr:cNvPr>
        <xdr:cNvCxnSpPr/>
      </xdr:nvCxnSpPr>
      <xdr:spPr>
        <a:xfrm flipH="1">
          <a:off x="16452254" y="6268453"/>
          <a:ext cx="1855798" cy="692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64169</xdr:colOff>
      <xdr:row>27</xdr:row>
      <xdr:rowOff>96252</xdr:rowOff>
    </xdr:from>
    <xdr:to>
      <xdr:col>21</xdr:col>
      <xdr:colOff>553453</xdr:colOff>
      <xdr:row>27</xdr:row>
      <xdr:rowOff>104272</xdr:rowOff>
    </xdr:to>
    <xdr:sp macro="" textlink="">
      <xdr:nvSpPr>
        <xdr:cNvPr id="67" name="Line 48">
          <a:extLst>
            <a:ext uri="{FF2B5EF4-FFF2-40B4-BE49-F238E27FC236}">
              <a16:creationId xmlns:a16="http://schemas.microsoft.com/office/drawing/2014/main" id="{A973971E-69ED-4B4E-9BB6-AAC41A9DC17A}"/>
            </a:ext>
          </a:extLst>
        </xdr:cNvPr>
        <xdr:cNvSpPr>
          <a:spLocks noChangeShapeType="1"/>
        </xdr:cNvSpPr>
      </xdr:nvSpPr>
      <xdr:spPr bwMode="auto">
        <a:xfrm>
          <a:off x="15067949" y="5041632"/>
          <a:ext cx="1098884" cy="8020"/>
        </a:xfrm>
        <a:prstGeom prst="line">
          <a:avLst/>
        </a:prstGeom>
        <a:noFill/>
        <a:ln w="152400">
          <a:solidFill>
            <a:srgbClr val="000000"/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32085</xdr:colOff>
      <xdr:row>27</xdr:row>
      <xdr:rowOff>96252</xdr:rowOff>
    </xdr:from>
    <xdr:to>
      <xdr:col>26</xdr:col>
      <xdr:colOff>0</xdr:colOff>
      <xdr:row>27</xdr:row>
      <xdr:rowOff>96252</xdr:rowOff>
    </xdr:to>
    <xdr:sp macro="" textlink="">
      <xdr:nvSpPr>
        <xdr:cNvPr id="68" name="Line 48">
          <a:extLst>
            <a:ext uri="{FF2B5EF4-FFF2-40B4-BE49-F238E27FC236}">
              <a16:creationId xmlns:a16="http://schemas.microsoft.com/office/drawing/2014/main" id="{AD9ED065-B4C5-407E-91E5-2C887A0B16EF}"/>
            </a:ext>
          </a:extLst>
        </xdr:cNvPr>
        <xdr:cNvSpPr>
          <a:spLocks noChangeShapeType="1"/>
        </xdr:cNvSpPr>
      </xdr:nvSpPr>
      <xdr:spPr bwMode="auto">
        <a:xfrm>
          <a:off x="18129585" y="5041632"/>
          <a:ext cx="1514775" cy="0"/>
        </a:xfrm>
        <a:prstGeom prst="line">
          <a:avLst/>
        </a:prstGeom>
        <a:noFill/>
        <a:ln w="152400">
          <a:solidFill>
            <a:srgbClr val="000000"/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250568</xdr:colOff>
      <xdr:row>27</xdr:row>
      <xdr:rowOff>89430</xdr:rowOff>
    </xdr:from>
    <xdr:to>
      <xdr:col>29</xdr:col>
      <xdr:colOff>978569</xdr:colOff>
      <xdr:row>27</xdr:row>
      <xdr:rowOff>104272</xdr:rowOff>
    </xdr:to>
    <xdr:sp macro="" textlink="">
      <xdr:nvSpPr>
        <xdr:cNvPr id="69" name="Line 48">
          <a:extLst>
            <a:ext uri="{FF2B5EF4-FFF2-40B4-BE49-F238E27FC236}">
              <a16:creationId xmlns:a16="http://schemas.microsoft.com/office/drawing/2014/main" id="{C83CAD1C-F175-486C-A7EB-67FAFE07E596}"/>
            </a:ext>
          </a:extLst>
        </xdr:cNvPr>
        <xdr:cNvSpPr>
          <a:spLocks noChangeShapeType="1"/>
        </xdr:cNvSpPr>
      </xdr:nvSpPr>
      <xdr:spPr bwMode="auto">
        <a:xfrm>
          <a:off x="21571328" y="5034810"/>
          <a:ext cx="1413801" cy="14842"/>
        </a:xfrm>
        <a:prstGeom prst="line">
          <a:avLst/>
        </a:prstGeom>
        <a:noFill/>
        <a:ln w="152400">
          <a:solidFill>
            <a:srgbClr val="000000"/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230605</xdr:colOff>
      <xdr:row>34</xdr:row>
      <xdr:rowOff>1</xdr:rowOff>
    </xdr:from>
    <xdr:to>
      <xdr:col>24</xdr:col>
      <xdr:colOff>230605</xdr:colOff>
      <xdr:row>35</xdr:row>
      <xdr:rowOff>76201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71C6112C-3DD9-4A9C-BFF2-FFBD67E7D6D1}"/>
            </a:ext>
          </a:extLst>
        </xdr:cNvPr>
        <xdr:cNvCxnSpPr/>
      </xdr:nvCxnSpPr>
      <xdr:spPr bwMode="auto">
        <a:xfrm rot="5400000">
          <a:off x="18190945" y="6385561"/>
          <a:ext cx="27432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906965</xdr:colOff>
      <xdr:row>34</xdr:row>
      <xdr:rowOff>2182</xdr:rowOff>
    </xdr:from>
    <xdr:to>
      <xdr:col>25</xdr:col>
      <xdr:colOff>906965</xdr:colOff>
      <xdr:row>35</xdr:row>
      <xdr:rowOff>82393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BA34B637-6292-47D7-BAF4-8532E4A7EB4A}"/>
            </a:ext>
          </a:extLst>
        </xdr:cNvPr>
        <xdr:cNvCxnSpPr/>
      </xdr:nvCxnSpPr>
      <xdr:spPr bwMode="auto">
        <a:xfrm rot="5400000">
          <a:off x="19474899" y="6389748"/>
          <a:ext cx="278331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231913</xdr:colOff>
      <xdr:row>34</xdr:row>
      <xdr:rowOff>124239</xdr:rowOff>
    </xdr:from>
    <xdr:to>
      <xdr:col>25</xdr:col>
      <xdr:colOff>931820</xdr:colOff>
      <xdr:row>35</xdr:row>
      <xdr:rowOff>79687</xdr:rowOff>
    </xdr:to>
    <xdr:grpSp>
      <xdr:nvGrpSpPr>
        <xdr:cNvPr id="72" name="Group 34">
          <a:extLst>
            <a:ext uri="{FF2B5EF4-FFF2-40B4-BE49-F238E27FC236}">
              <a16:creationId xmlns:a16="http://schemas.microsoft.com/office/drawing/2014/main" id="{BE80E564-2A0F-44B7-9D0A-067DA98EDF6C}"/>
            </a:ext>
          </a:extLst>
        </xdr:cNvPr>
        <xdr:cNvGrpSpPr>
          <a:grpSpLocks/>
        </xdr:cNvGrpSpPr>
      </xdr:nvGrpSpPr>
      <xdr:grpSpPr bwMode="auto">
        <a:xfrm>
          <a:off x="18270292" y="6430446"/>
          <a:ext cx="1304252" cy="152517"/>
          <a:chOff x="5143500" y="4914900"/>
          <a:chExt cx="1295400" cy="228600"/>
        </a:xfrm>
      </xdr:grpSpPr>
      <xdr:cxnSp macro="">
        <xdr:nvCxnSpPr>
          <xdr:cNvPr id="73" name="Straight Connector 72">
            <a:extLst>
              <a:ext uri="{FF2B5EF4-FFF2-40B4-BE49-F238E27FC236}">
                <a16:creationId xmlns:a16="http://schemas.microsoft.com/office/drawing/2014/main" id="{820DFD64-FC8F-D13B-5549-EA6B87208248}"/>
              </a:ext>
            </a:extLst>
          </xdr:cNvPr>
          <xdr:cNvCxnSpPr/>
        </xdr:nvCxnSpPr>
        <xdr:spPr>
          <a:xfrm rot="5400000">
            <a:off x="50292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4" name="Straight Connector 73">
            <a:extLst>
              <a:ext uri="{FF2B5EF4-FFF2-40B4-BE49-F238E27FC236}">
                <a16:creationId xmlns:a16="http://schemas.microsoft.com/office/drawing/2014/main" id="{89A3347C-65BB-1C54-43AD-C2920CF32602}"/>
              </a:ext>
            </a:extLst>
          </xdr:cNvPr>
          <xdr:cNvCxnSpPr/>
        </xdr:nvCxnSpPr>
        <xdr:spPr>
          <a:xfrm rot="5400000">
            <a:off x="63246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5" name="Straight Connector 74">
            <a:extLst>
              <a:ext uri="{FF2B5EF4-FFF2-40B4-BE49-F238E27FC236}">
                <a16:creationId xmlns:a16="http://schemas.microsoft.com/office/drawing/2014/main" id="{BCA24298-5FB1-7327-3E38-867BFA5C1CA3}"/>
              </a:ext>
            </a:extLst>
          </xdr:cNvPr>
          <xdr:cNvCxnSpPr/>
        </xdr:nvCxnSpPr>
        <xdr:spPr>
          <a:xfrm flipV="1">
            <a:off x="5143500" y="5124965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27</xdr:col>
      <xdr:colOff>465221</xdr:colOff>
      <xdr:row>34</xdr:row>
      <xdr:rowOff>16045</xdr:rowOff>
    </xdr:from>
    <xdr:to>
      <xdr:col>27</xdr:col>
      <xdr:colOff>467032</xdr:colOff>
      <xdr:row>35</xdr:row>
      <xdr:rowOff>59813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73F72B9E-3A2B-45DE-A7F2-85E829EFF74B}"/>
            </a:ext>
          </a:extLst>
        </xdr:cNvPr>
        <xdr:cNvCxnSpPr/>
      </xdr:nvCxnSpPr>
      <xdr:spPr bwMode="auto">
        <a:xfrm>
          <a:off x="21031601" y="6264445"/>
          <a:ext cx="1811" cy="24188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119222</xdr:colOff>
      <xdr:row>34</xdr:row>
      <xdr:rowOff>16560</xdr:rowOff>
    </xdr:from>
    <xdr:to>
      <xdr:col>29</xdr:col>
      <xdr:colOff>119222</xdr:colOff>
      <xdr:row>35</xdr:row>
      <xdr:rowOff>92760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0ABCCECB-5D40-4EB6-9E94-AB6C2C4CF1B9}"/>
            </a:ext>
          </a:extLst>
        </xdr:cNvPr>
        <xdr:cNvCxnSpPr/>
      </xdr:nvCxnSpPr>
      <xdr:spPr bwMode="auto">
        <a:xfrm rot="5400000">
          <a:off x="21988622" y="6402120"/>
          <a:ext cx="27432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458839</xdr:colOff>
      <xdr:row>35</xdr:row>
      <xdr:rowOff>24581</xdr:rowOff>
    </xdr:from>
    <xdr:to>
      <xdr:col>29</xdr:col>
      <xdr:colOff>122903</xdr:colOff>
      <xdr:row>35</xdr:row>
      <xdr:rowOff>70300</xdr:rowOff>
    </xdr:to>
    <xdr:grpSp>
      <xdr:nvGrpSpPr>
        <xdr:cNvPr id="78" name="Group 34">
          <a:extLst>
            <a:ext uri="{FF2B5EF4-FFF2-40B4-BE49-F238E27FC236}">
              <a16:creationId xmlns:a16="http://schemas.microsoft.com/office/drawing/2014/main" id="{B047F0C7-2536-4152-8E82-97B34B2E7258}"/>
            </a:ext>
          </a:extLst>
        </xdr:cNvPr>
        <xdr:cNvGrpSpPr>
          <a:grpSpLocks/>
        </xdr:cNvGrpSpPr>
      </xdr:nvGrpSpPr>
      <xdr:grpSpPr bwMode="auto">
        <a:xfrm>
          <a:off x="20954011" y="6527857"/>
          <a:ext cx="1096099" cy="45719"/>
          <a:chOff x="5143500" y="4914900"/>
          <a:chExt cx="1295400" cy="228600"/>
        </a:xfrm>
      </xdr:grpSpPr>
      <xdr:cxnSp macro="">
        <xdr:nvCxnSpPr>
          <xdr:cNvPr id="79" name="Straight Connector 78">
            <a:extLst>
              <a:ext uri="{FF2B5EF4-FFF2-40B4-BE49-F238E27FC236}">
                <a16:creationId xmlns:a16="http://schemas.microsoft.com/office/drawing/2014/main" id="{2AB23D7D-FF17-F76C-D8E7-605141018975}"/>
              </a:ext>
            </a:extLst>
          </xdr:cNvPr>
          <xdr:cNvCxnSpPr/>
        </xdr:nvCxnSpPr>
        <xdr:spPr>
          <a:xfrm rot="5400000">
            <a:off x="50292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0" name="Straight Connector 79">
            <a:extLst>
              <a:ext uri="{FF2B5EF4-FFF2-40B4-BE49-F238E27FC236}">
                <a16:creationId xmlns:a16="http://schemas.microsoft.com/office/drawing/2014/main" id="{A35F5B9F-3E2A-445F-8A2B-BD8E47E7930E}"/>
              </a:ext>
            </a:extLst>
          </xdr:cNvPr>
          <xdr:cNvCxnSpPr/>
        </xdr:nvCxnSpPr>
        <xdr:spPr>
          <a:xfrm rot="5400000">
            <a:off x="63246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1" name="Straight Connector 80">
            <a:extLst>
              <a:ext uri="{FF2B5EF4-FFF2-40B4-BE49-F238E27FC236}">
                <a16:creationId xmlns:a16="http://schemas.microsoft.com/office/drawing/2014/main" id="{B3729F8F-D3D2-D8B5-C20C-CE0388D1D6FC}"/>
              </a:ext>
            </a:extLst>
          </xdr:cNvPr>
          <xdr:cNvCxnSpPr/>
        </xdr:nvCxnSpPr>
        <xdr:spPr>
          <a:xfrm flipV="1">
            <a:off x="5143500" y="5124965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922421</xdr:colOff>
      <xdr:row>34</xdr:row>
      <xdr:rowOff>8021</xdr:rowOff>
    </xdr:from>
    <xdr:to>
      <xdr:col>27</xdr:col>
      <xdr:colOff>481263</xdr:colOff>
      <xdr:row>34</xdr:row>
      <xdr:rowOff>16042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47214B68-151D-4091-8390-C9008056228F}"/>
            </a:ext>
          </a:extLst>
        </xdr:cNvPr>
        <xdr:cNvCxnSpPr/>
      </xdr:nvCxnSpPr>
      <xdr:spPr>
        <a:xfrm flipH="1" flipV="1">
          <a:off x="19629521" y="6256421"/>
          <a:ext cx="1418122" cy="8021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122904</xdr:colOff>
      <xdr:row>34</xdr:row>
      <xdr:rowOff>8021</xdr:rowOff>
    </xdr:from>
    <xdr:to>
      <xdr:col>30</xdr:col>
      <xdr:colOff>657727</xdr:colOff>
      <xdr:row>34</xdr:row>
      <xdr:rowOff>8194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21991ADE-D7F5-488A-B33E-FB8799E53F26}"/>
            </a:ext>
          </a:extLst>
        </xdr:cNvPr>
        <xdr:cNvCxnSpPr/>
      </xdr:nvCxnSpPr>
      <xdr:spPr>
        <a:xfrm flipH="1">
          <a:off x="22129464" y="6256421"/>
          <a:ext cx="1639723" cy="17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211024</xdr:colOff>
      <xdr:row>24</xdr:row>
      <xdr:rowOff>69273</xdr:rowOff>
    </xdr:from>
    <xdr:to>
      <xdr:col>33</xdr:col>
      <xdr:colOff>727364</xdr:colOff>
      <xdr:row>27</xdr:row>
      <xdr:rowOff>88957</xdr:rowOff>
    </xdr:to>
    <xdr:sp macro="" textlink="">
      <xdr:nvSpPr>
        <xdr:cNvPr id="84" name="Line 48">
          <a:extLst>
            <a:ext uri="{FF2B5EF4-FFF2-40B4-BE49-F238E27FC236}">
              <a16:creationId xmlns:a16="http://schemas.microsoft.com/office/drawing/2014/main" id="{B16DCE62-9C4D-4361-B93E-2CEEF9E931C6}"/>
            </a:ext>
          </a:extLst>
        </xdr:cNvPr>
        <xdr:cNvSpPr>
          <a:spLocks noChangeShapeType="1"/>
        </xdr:cNvSpPr>
      </xdr:nvSpPr>
      <xdr:spPr bwMode="auto">
        <a:xfrm flipV="1">
          <a:off x="25570384" y="4458393"/>
          <a:ext cx="1590760" cy="575944"/>
        </a:xfrm>
        <a:prstGeom prst="line">
          <a:avLst/>
        </a:prstGeom>
        <a:noFill/>
        <a:ln w="152400">
          <a:solidFill>
            <a:srgbClr val="000000"/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647204</xdr:colOff>
      <xdr:row>33</xdr:row>
      <xdr:rowOff>176464</xdr:rowOff>
    </xdr:from>
    <xdr:to>
      <xdr:col>30</xdr:col>
      <xdr:colOff>647204</xdr:colOff>
      <xdr:row>35</xdr:row>
      <xdr:rowOff>68179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63FF88F9-E59D-46E8-AA12-4DB279B8927F}"/>
            </a:ext>
          </a:extLst>
        </xdr:cNvPr>
        <xdr:cNvCxnSpPr/>
      </xdr:nvCxnSpPr>
      <xdr:spPr bwMode="auto">
        <a:xfrm rot="5400000">
          <a:off x="23622306" y="6378342"/>
          <a:ext cx="272715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664216</xdr:colOff>
      <xdr:row>34</xdr:row>
      <xdr:rowOff>173936</xdr:rowOff>
    </xdr:from>
    <xdr:to>
      <xdr:col>32</xdr:col>
      <xdr:colOff>16565</xdr:colOff>
      <xdr:row>35</xdr:row>
      <xdr:rowOff>72190</xdr:rowOff>
    </xdr:to>
    <xdr:grpSp>
      <xdr:nvGrpSpPr>
        <xdr:cNvPr id="86" name="Group 34">
          <a:extLst>
            <a:ext uri="{FF2B5EF4-FFF2-40B4-BE49-F238E27FC236}">
              <a16:creationId xmlns:a16="http://schemas.microsoft.com/office/drawing/2014/main" id="{9C2379F8-E839-4EC1-8276-B97BCDA936F4}"/>
            </a:ext>
          </a:extLst>
        </xdr:cNvPr>
        <xdr:cNvGrpSpPr>
          <a:grpSpLocks/>
        </xdr:cNvGrpSpPr>
      </xdr:nvGrpSpPr>
      <xdr:grpSpPr bwMode="auto">
        <a:xfrm>
          <a:off x="23695009" y="6480143"/>
          <a:ext cx="1598935" cy="95323"/>
          <a:chOff x="5143500" y="4914900"/>
          <a:chExt cx="1295400" cy="228600"/>
        </a:xfrm>
      </xdr:grpSpPr>
      <xdr:cxnSp macro="">
        <xdr:nvCxnSpPr>
          <xdr:cNvPr id="87" name="Straight Connector 86">
            <a:extLst>
              <a:ext uri="{FF2B5EF4-FFF2-40B4-BE49-F238E27FC236}">
                <a16:creationId xmlns:a16="http://schemas.microsoft.com/office/drawing/2014/main" id="{0273B074-201C-1534-E551-E72DC2B783A7}"/>
              </a:ext>
            </a:extLst>
          </xdr:cNvPr>
          <xdr:cNvCxnSpPr/>
        </xdr:nvCxnSpPr>
        <xdr:spPr>
          <a:xfrm rot="5400000">
            <a:off x="50292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8" name="Straight Connector 87">
            <a:extLst>
              <a:ext uri="{FF2B5EF4-FFF2-40B4-BE49-F238E27FC236}">
                <a16:creationId xmlns:a16="http://schemas.microsoft.com/office/drawing/2014/main" id="{1F0766B0-024D-2850-D0EA-01F365A93FFE}"/>
              </a:ext>
            </a:extLst>
          </xdr:cNvPr>
          <xdr:cNvCxnSpPr/>
        </xdr:nvCxnSpPr>
        <xdr:spPr>
          <a:xfrm rot="5400000">
            <a:off x="63246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9" name="Straight Connector 88">
            <a:extLst>
              <a:ext uri="{FF2B5EF4-FFF2-40B4-BE49-F238E27FC236}">
                <a16:creationId xmlns:a16="http://schemas.microsoft.com/office/drawing/2014/main" id="{ADA10D0B-8EFD-EA2C-5D41-78F20EA6E709}"/>
              </a:ext>
            </a:extLst>
          </xdr:cNvPr>
          <xdr:cNvCxnSpPr/>
        </xdr:nvCxnSpPr>
        <xdr:spPr>
          <a:xfrm flipV="1">
            <a:off x="5143500" y="5124965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17</xdr:col>
      <xdr:colOff>432913</xdr:colOff>
      <xdr:row>3</xdr:row>
      <xdr:rowOff>174558</xdr:rowOff>
    </xdr:from>
    <xdr:to>
      <xdr:col>34</xdr:col>
      <xdr:colOff>466212</xdr:colOff>
      <xdr:row>7</xdr:row>
      <xdr:rowOff>148994</xdr:rowOff>
    </xdr:to>
    <xdr:sp macro="" textlink="">
      <xdr:nvSpPr>
        <xdr:cNvPr id="90" name="Freeform 31">
          <a:extLst>
            <a:ext uri="{FF2B5EF4-FFF2-40B4-BE49-F238E27FC236}">
              <a16:creationId xmlns:a16="http://schemas.microsoft.com/office/drawing/2014/main" id="{C4C3AC70-4D6E-4A8F-AD4E-0354B166FB0B}"/>
            </a:ext>
          </a:extLst>
        </xdr:cNvPr>
        <xdr:cNvSpPr>
          <a:spLocks/>
        </xdr:cNvSpPr>
      </xdr:nvSpPr>
      <xdr:spPr bwMode="auto">
        <a:xfrm rot="16472251" flipH="1" flipV="1">
          <a:off x="20365785" y="-6552854"/>
          <a:ext cx="705956" cy="15258059"/>
        </a:xfrm>
        <a:custGeom>
          <a:avLst/>
          <a:gdLst>
            <a:gd name="T0" fmla="*/ 2147483646 w 21"/>
            <a:gd name="T1" fmla="*/ 0 h 347"/>
            <a:gd name="T2" fmla="*/ 0 w 21"/>
            <a:gd name="T3" fmla="*/ 2147483646 h 347"/>
            <a:gd name="T4" fmla="*/ 2147483646 w 21"/>
            <a:gd name="T5" fmla="*/ 2147483646 h 347"/>
            <a:gd name="T6" fmla="*/ 2147483646 w 21"/>
            <a:gd name="T7" fmla="*/ 2147483646 h 347"/>
            <a:gd name="T8" fmla="*/ 0 60000 65536"/>
            <a:gd name="T9" fmla="*/ 0 60000 65536"/>
            <a:gd name="T10" fmla="*/ 0 60000 65536"/>
            <a:gd name="T11" fmla="*/ 0 60000 65536"/>
            <a:gd name="T12" fmla="*/ 0 w 21"/>
            <a:gd name="T13" fmla="*/ 0 h 347"/>
            <a:gd name="T14" fmla="*/ 21 w 21"/>
            <a:gd name="T15" fmla="*/ 347 h 347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" h="347">
              <a:moveTo>
                <a:pt x="18" y="0"/>
              </a:moveTo>
              <a:cubicBezTo>
                <a:pt x="9" y="66"/>
                <a:pt x="0" y="132"/>
                <a:pt x="0" y="162"/>
              </a:cubicBezTo>
              <a:cubicBezTo>
                <a:pt x="0" y="192"/>
                <a:pt x="15" y="148"/>
                <a:pt x="18" y="179"/>
              </a:cubicBezTo>
              <a:cubicBezTo>
                <a:pt x="21" y="210"/>
                <a:pt x="19" y="278"/>
                <a:pt x="17" y="347"/>
              </a:cubicBezTo>
            </a:path>
          </a:pathLst>
        </a:custGeom>
        <a:noFill/>
        <a:ln w="38100" cap="flat" cmpd="sng">
          <a:solidFill>
            <a:srgbClr val="000000"/>
          </a:solidFill>
          <a:prstDash val="solid"/>
          <a:round/>
          <a:headEnd type="none" w="med" len="med"/>
          <a:tailEnd type="triangle" w="lg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449180</xdr:colOff>
      <xdr:row>5</xdr:row>
      <xdr:rowOff>96256</xdr:rowOff>
    </xdr:from>
    <xdr:to>
      <xdr:col>30</xdr:col>
      <xdr:colOff>840442</xdr:colOff>
      <xdr:row>22</xdr:row>
      <xdr:rowOff>100853</xdr:rowOff>
    </xdr:to>
    <xdr:sp macro="" textlink="">
      <xdr:nvSpPr>
        <xdr:cNvPr id="91" name="Line 30">
          <a:extLst>
            <a:ext uri="{FF2B5EF4-FFF2-40B4-BE49-F238E27FC236}">
              <a16:creationId xmlns:a16="http://schemas.microsoft.com/office/drawing/2014/main" id="{71B6621E-F59B-4A87-BA19-8A627463862C}"/>
            </a:ext>
          </a:extLst>
        </xdr:cNvPr>
        <xdr:cNvSpPr>
          <a:spLocks noChangeShapeType="1"/>
        </xdr:cNvSpPr>
      </xdr:nvSpPr>
      <xdr:spPr bwMode="auto">
        <a:xfrm rot="16200000" flipH="1">
          <a:off x="16667372" y="-3160316"/>
          <a:ext cx="3113557" cy="11455502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433137</xdr:colOff>
      <xdr:row>5</xdr:row>
      <xdr:rowOff>104278</xdr:rowOff>
    </xdr:from>
    <xdr:to>
      <xdr:col>26</xdr:col>
      <xdr:colOff>448239</xdr:colOff>
      <xdr:row>23</xdr:row>
      <xdr:rowOff>1</xdr:rowOff>
    </xdr:to>
    <xdr:sp macro="" textlink="">
      <xdr:nvSpPr>
        <xdr:cNvPr id="92" name="Line 30">
          <a:extLst>
            <a:ext uri="{FF2B5EF4-FFF2-40B4-BE49-F238E27FC236}">
              <a16:creationId xmlns:a16="http://schemas.microsoft.com/office/drawing/2014/main" id="{3115E170-B94A-4CDE-9614-91FD020EEC8B}"/>
            </a:ext>
          </a:extLst>
        </xdr:cNvPr>
        <xdr:cNvSpPr>
          <a:spLocks noChangeShapeType="1"/>
        </xdr:cNvSpPr>
      </xdr:nvSpPr>
      <xdr:spPr bwMode="auto">
        <a:xfrm rot="16200000" flipH="1">
          <a:off x="14692696" y="-1193661"/>
          <a:ext cx="3187563" cy="7612242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425119</xdr:colOff>
      <xdr:row>5</xdr:row>
      <xdr:rowOff>104277</xdr:rowOff>
    </xdr:from>
    <xdr:to>
      <xdr:col>22</xdr:col>
      <xdr:colOff>885265</xdr:colOff>
      <xdr:row>23</xdr:row>
      <xdr:rowOff>44823</xdr:rowOff>
    </xdr:to>
    <xdr:sp macro="" textlink="">
      <xdr:nvSpPr>
        <xdr:cNvPr id="93" name="Line 30">
          <a:extLst>
            <a:ext uri="{FF2B5EF4-FFF2-40B4-BE49-F238E27FC236}">
              <a16:creationId xmlns:a16="http://schemas.microsoft.com/office/drawing/2014/main" id="{60C9B487-7B87-4397-8B6B-62A58826963B}"/>
            </a:ext>
          </a:extLst>
        </xdr:cNvPr>
        <xdr:cNvSpPr>
          <a:spLocks noChangeShapeType="1"/>
        </xdr:cNvSpPr>
      </xdr:nvSpPr>
      <xdr:spPr bwMode="auto">
        <a:xfrm rot="16200000" flipH="1">
          <a:off x="13174099" y="316917"/>
          <a:ext cx="3232386" cy="4635906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441163</xdr:colOff>
      <xdr:row>5</xdr:row>
      <xdr:rowOff>88233</xdr:rowOff>
    </xdr:from>
    <xdr:to>
      <xdr:col>18</xdr:col>
      <xdr:colOff>683562</xdr:colOff>
      <xdr:row>22</xdr:row>
      <xdr:rowOff>156882</xdr:rowOff>
    </xdr:to>
    <xdr:sp macro="" textlink="">
      <xdr:nvSpPr>
        <xdr:cNvPr id="94" name="Line 30">
          <a:extLst>
            <a:ext uri="{FF2B5EF4-FFF2-40B4-BE49-F238E27FC236}">
              <a16:creationId xmlns:a16="http://schemas.microsoft.com/office/drawing/2014/main" id="{94059A77-8775-471E-AC2A-A2EC70B2D550}"/>
            </a:ext>
          </a:extLst>
        </xdr:cNvPr>
        <xdr:cNvSpPr>
          <a:spLocks noChangeShapeType="1"/>
        </xdr:cNvSpPr>
      </xdr:nvSpPr>
      <xdr:spPr bwMode="auto">
        <a:xfrm rot="16200000" flipH="1">
          <a:off x="11630378" y="1860638"/>
          <a:ext cx="3177609" cy="1461599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40105</xdr:colOff>
      <xdr:row>27</xdr:row>
      <xdr:rowOff>80210</xdr:rowOff>
    </xdr:from>
    <xdr:to>
      <xdr:col>5</xdr:col>
      <xdr:colOff>689810</xdr:colOff>
      <xdr:row>27</xdr:row>
      <xdr:rowOff>80210</xdr:rowOff>
    </xdr:to>
    <xdr:sp macro="" textlink="">
      <xdr:nvSpPr>
        <xdr:cNvPr id="95" name="Line 48">
          <a:extLst>
            <a:ext uri="{FF2B5EF4-FFF2-40B4-BE49-F238E27FC236}">
              <a16:creationId xmlns:a16="http://schemas.microsoft.com/office/drawing/2014/main" id="{AD4B8D9C-B7B0-45FD-98F9-B6D1E95FB8DB}"/>
            </a:ext>
          </a:extLst>
        </xdr:cNvPr>
        <xdr:cNvSpPr>
          <a:spLocks noChangeShapeType="1"/>
        </xdr:cNvSpPr>
      </xdr:nvSpPr>
      <xdr:spPr bwMode="auto">
        <a:xfrm flipV="1">
          <a:off x="3225265" y="5025590"/>
          <a:ext cx="1259305" cy="0"/>
        </a:xfrm>
        <a:prstGeom prst="line">
          <a:avLst/>
        </a:prstGeom>
        <a:noFill/>
        <a:ln w="152400">
          <a:solidFill>
            <a:srgbClr val="000000"/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40106</xdr:colOff>
      <xdr:row>27</xdr:row>
      <xdr:rowOff>104273</xdr:rowOff>
    </xdr:from>
    <xdr:to>
      <xdr:col>9</xdr:col>
      <xdr:colOff>601580</xdr:colOff>
      <xdr:row>27</xdr:row>
      <xdr:rowOff>112294</xdr:rowOff>
    </xdr:to>
    <xdr:sp macro="" textlink="">
      <xdr:nvSpPr>
        <xdr:cNvPr id="96" name="Line 48">
          <a:extLst>
            <a:ext uri="{FF2B5EF4-FFF2-40B4-BE49-F238E27FC236}">
              <a16:creationId xmlns:a16="http://schemas.microsoft.com/office/drawing/2014/main" id="{50A04CBC-18E5-4BF8-8AFB-1B86AD7DFE5B}"/>
            </a:ext>
          </a:extLst>
        </xdr:cNvPr>
        <xdr:cNvSpPr>
          <a:spLocks noChangeShapeType="1"/>
        </xdr:cNvSpPr>
      </xdr:nvSpPr>
      <xdr:spPr bwMode="auto">
        <a:xfrm>
          <a:off x="6311366" y="5049653"/>
          <a:ext cx="1171074" cy="8021"/>
        </a:xfrm>
        <a:prstGeom prst="line">
          <a:avLst/>
        </a:prstGeom>
        <a:noFill/>
        <a:ln w="152400">
          <a:solidFill>
            <a:srgbClr val="000000"/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493059</xdr:colOff>
      <xdr:row>23</xdr:row>
      <xdr:rowOff>67235</xdr:rowOff>
    </xdr:from>
    <xdr:to>
      <xdr:col>4</xdr:col>
      <xdr:colOff>89647</xdr:colOff>
      <xdr:row>25</xdr:row>
      <xdr:rowOff>120180</xdr:rowOff>
    </xdr:to>
    <xdr:grpSp>
      <xdr:nvGrpSpPr>
        <xdr:cNvPr id="97" name="Group 82">
          <a:extLst>
            <a:ext uri="{FF2B5EF4-FFF2-40B4-BE49-F238E27FC236}">
              <a16:creationId xmlns:a16="http://schemas.microsoft.com/office/drawing/2014/main" id="{7F8516B6-22AB-41F4-9510-F405026BB42C}"/>
            </a:ext>
          </a:extLst>
        </xdr:cNvPr>
        <xdr:cNvGrpSpPr>
          <a:grpSpLocks/>
        </xdr:cNvGrpSpPr>
      </xdr:nvGrpSpPr>
      <xdr:grpSpPr bwMode="auto">
        <a:xfrm>
          <a:off x="1373300" y="4297649"/>
          <a:ext cx="1895726" cy="420807"/>
          <a:chOff x="1793600" y="2463436"/>
          <a:chExt cx="1711600" cy="486851"/>
        </a:xfrm>
      </xdr:grpSpPr>
      <xdr:sp macro="" textlink="">
        <xdr:nvSpPr>
          <xdr:cNvPr id="98" name="Rectangle 97">
            <a:extLst>
              <a:ext uri="{FF2B5EF4-FFF2-40B4-BE49-F238E27FC236}">
                <a16:creationId xmlns:a16="http://schemas.microsoft.com/office/drawing/2014/main" id="{C06200BB-FD49-81AC-E229-A76083232D1E}"/>
              </a:ext>
            </a:extLst>
          </xdr:cNvPr>
          <xdr:cNvSpPr/>
        </xdr:nvSpPr>
        <xdr:spPr>
          <a:xfrm>
            <a:off x="1828800" y="2463436"/>
            <a:ext cx="1676400" cy="437988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  <xdr:sp macro="" textlink="">
        <xdr:nvSpPr>
          <xdr:cNvPr id="99" name="TextBox 5">
            <a:extLst>
              <a:ext uri="{FF2B5EF4-FFF2-40B4-BE49-F238E27FC236}">
                <a16:creationId xmlns:a16="http://schemas.microsoft.com/office/drawing/2014/main" id="{DD7F6CBA-7393-E708-C642-1B6A4EA9B823}"/>
              </a:ext>
            </a:extLst>
          </xdr:cNvPr>
          <xdr:cNvSpPr txBox="1"/>
        </xdr:nvSpPr>
        <xdr:spPr>
          <a:xfrm>
            <a:off x="1793600" y="2564260"/>
            <a:ext cx="1613669" cy="38602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0" lang="en-US" sz="1200" b="1" i="0" u="none" strike="noStrike" kern="0" cap="none" spc="0" normalizeH="0" baseline="0" noProof="0">
                <a:ln>
                  <a:noFill/>
                </a:ln>
                <a:solidFill>
                  <a:srgbClr val="5B9BD5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Laser</a:t>
            </a:r>
            <a:r>
              <a:rPr lang="en-US" sz="1200" b="1">
                <a:solidFill>
                  <a:schemeClr val="accent1"/>
                </a:solidFill>
              </a:rPr>
              <a:t> </a:t>
            </a:r>
          </a:p>
        </xdr:txBody>
      </xdr:sp>
    </xdr:grpSp>
    <xdr:clientData/>
  </xdr:twoCellAnchor>
  <xdr:twoCellAnchor>
    <xdr:from>
      <xdr:col>6</xdr:col>
      <xdr:colOff>14377</xdr:colOff>
      <xdr:row>23</xdr:row>
      <xdr:rowOff>49476</xdr:rowOff>
    </xdr:from>
    <xdr:to>
      <xdr:col>8</xdr:col>
      <xdr:colOff>0</xdr:colOff>
      <xdr:row>25</xdr:row>
      <xdr:rowOff>57384</xdr:rowOff>
    </xdr:to>
    <xdr:grpSp>
      <xdr:nvGrpSpPr>
        <xdr:cNvPr id="100" name="Group 82">
          <a:extLst>
            <a:ext uri="{FF2B5EF4-FFF2-40B4-BE49-F238E27FC236}">
              <a16:creationId xmlns:a16="http://schemas.microsoft.com/office/drawing/2014/main" id="{4D018EED-F5DF-4F80-8A50-35D9549D5A36}"/>
            </a:ext>
          </a:extLst>
        </xdr:cNvPr>
        <xdr:cNvGrpSpPr>
          <a:grpSpLocks/>
        </xdr:cNvGrpSpPr>
      </xdr:nvGrpSpPr>
      <xdr:grpSpPr bwMode="auto">
        <a:xfrm>
          <a:off x="4520687" y="4279890"/>
          <a:ext cx="1746106" cy="375770"/>
          <a:chOff x="1828800" y="2418265"/>
          <a:chExt cx="1676400" cy="483159"/>
        </a:xfrm>
      </xdr:grpSpPr>
      <xdr:sp macro="" textlink="">
        <xdr:nvSpPr>
          <xdr:cNvPr id="101" name="Rectangle 100">
            <a:extLst>
              <a:ext uri="{FF2B5EF4-FFF2-40B4-BE49-F238E27FC236}">
                <a16:creationId xmlns:a16="http://schemas.microsoft.com/office/drawing/2014/main" id="{93EB3C1E-A764-DC58-238F-A492880DA264}"/>
              </a:ext>
            </a:extLst>
          </xdr:cNvPr>
          <xdr:cNvSpPr/>
        </xdr:nvSpPr>
        <xdr:spPr>
          <a:xfrm>
            <a:off x="1828800" y="2463436"/>
            <a:ext cx="1676400" cy="437988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  <xdr:sp macro="" textlink="">
        <xdr:nvSpPr>
          <xdr:cNvPr id="102" name="TextBox 5">
            <a:extLst>
              <a:ext uri="{FF2B5EF4-FFF2-40B4-BE49-F238E27FC236}">
                <a16:creationId xmlns:a16="http://schemas.microsoft.com/office/drawing/2014/main" id="{74946A5F-9FDD-C4AC-FB30-40EF8BA4D263}"/>
              </a:ext>
            </a:extLst>
          </xdr:cNvPr>
          <xdr:cNvSpPr txBox="1"/>
        </xdr:nvSpPr>
        <xdr:spPr>
          <a:xfrm>
            <a:off x="1837110" y="2418265"/>
            <a:ext cx="1613668" cy="36649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0" lang="en-US" sz="1200" b="1" i="0" u="none" strike="noStrike" kern="1200" cap="none" spc="0" normalizeH="0" baseline="0" noProof="0">
                <a:ln>
                  <a:noFill/>
                </a:ln>
                <a:solidFill>
                  <a:srgbClr val="5B9BD5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Bending</a:t>
            </a:r>
            <a:endParaRPr lang="en-US" sz="1200" b="1">
              <a:solidFill>
                <a:schemeClr val="accent1"/>
              </a:solidFill>
            </a:endParaRPr>
          </a:p>
        </xdr:txBody>
      </xdr:sp>
    </xdr:grpSp>
    <xdr:clientData/>
  </xdr:twoCellAnchor>
  <xdr:twoCellAnchor>
    <xdr:from>
      <xdr:col>10</xdr:col>
      <xdr:colOff>8848</xdr:colOff>
      <xdr:row>23</xdr:row>
      <xdr:rowOff>84571</xdr:rowOff>
    </xdr:from>
    <xdr:to>
      <xdr:col>12</xdr:col>
      <xdr:colOff>13838</xdr:colOff>
      <xdr:row>25</xdr:row>
      <xdr:rowOff>59572</xdr:rowOff>
    </xdr:to>
    <xdr:grpSp>
      <xdr:nvGrpSpPr>
        <xdr:cNvPr id="103" name="Group 82">
          <a:extLst>
            <a:ext uri="{FF2B5EF4-FFF2-40B4-BE49-F238E27FC236}">
              <a16:creationId xmlns:a16="http://schemas.microsoft.com/office/drawing/2014/main" id="{2D79F33B-BDC8-4A12-8296-2DC65A9DCD14}"/>
            </a:ext>
          </a:extLst>
        </xdr:cNvPr>
        <xdr:cNvGrpSpPr>
          <a:grpSpLocks/>
        </xdr:cNvGrpSpPr>
      </xdr:nvGrpSpPr>
      <xdr:grpSpPr bwMode="auto">
        <a:xfrm>
          <a:off x="7484331" y="4314985"/>
          <a:ext cx="1804886" cy="342863"/>
          <a:chOff x="1828800" y="2463436"/>
          <a:chExt cx="1676400" cy="463591"/>
        </a:xfrm>
      </xdr:grpSpPr>
      <xdr:sp macro="" textlink="">
        <xdr:nvSpPr>
          <xdr:cNvPr id="104" name="Rectangle 103">
            <a:extLst>
              <a:ext uri="{FF2B5EF4-FFF2-40B4-BE49-F238E27FC236}">
                <a16:creationId xmlns:a16="http://schemas.microsoft.com/office/drawing/2014/main" id="{374C1679-AC0F-BDC9-F5F2-7AB5B595E9BA}"/>
              </a:ext>
            </a:extLst>
          </xdr:cNvPr>
          <xdr:cNvSpPr/>
        </xdr:nvSpPr>
        <xdr:spPr>
          <a:xfrm>
            <a:off x="1828800" y="2463436"/>
            <a:ext cx="1676400" cy="437988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  <xdr:sp macro="" textlink="">
        <xdr:nvSpPr>
          <xdr:cNvPr id="105" name="TextBox 5">
            <a:extLst>
              <a:ext uri="{FF2B5EF4-FFF2-40B4-BE49-F238E27FC236}">
                <a16:creationId xmlns:a16="http://schemas.microsoft.com/office/drawing/2014/main" id="{5712D2FD-9FD6-D649-BB3D-F09BC57F53EC}"/>
              </a:ext>
            </a:extLst>
          </xdr:cNvPr>
          <xdr:cNvSpPr txBox="1"/>
        </xdr:nvSpPr>
        <xdr:spPr>
          <a:xfrm>
            <a:off x="1886879" y="2540251"/>
            <a:ext cx="1613668" cy="38677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>
                <a:solidFill>
                  <a:schemeClr val="accent1"/>
                </a:solidFill>
              </a:rPr>
              <a:t>Assmbly</a:t>
            </a:r>
            <a:r>
              <a:rPr lang="en-US" sz="1200" b="1" baseline="0">
                <a:solidFill>
                  <a:schemeClr val="accent1"/>
                </a:solidFill>
              </a:rPr>
              <a:t> </a:t>
            </a:r>
            <a:r>
              <a:rPr lang="en-US" sz="1200" b="1">
                <a:solidFill>
                  <a:schemeClr val="accent1"/>
                </a:solidFill>
              </a:rPr>
              <a:t>  </a:t>
            </a:r>
          </a:p>
        </xdr:txBody>
      </xdr:sp>
    </xdr:grpSp>
    <xdr:clientData/>
  </xdr:twoCellAnchor>
  <xdr:twoCellAnchor>
    <xdr:from>
      <xdr:col>13</xdr:col>
      <xdr:colOff>543211</xdr:colOff>
      <xdr:row>23</xdr:row>
      <xdr:rowOff>93166</xdr:rowOff>
    </xdr:from>
    <xdr:to>
      <xdr:col>16</xdr:col>
      <xdr:colOff>10656</xdr:colOff>
      <xdr:row>25</xdr:row>
      <xdr:rowOff>81147</xdr:rowOff>
    </xdr:to>
    <xdr:grpSp>
      <xdr:nvGrpSpPr>
        <xdr:cNvPr id="106" name="Group 82">
          <a:extLst>
            <a:ext uri="{FF2B5EF4-FFF2-40B4-BE49-F238E27FC236}">
              <a16:creationId xmlns:a16="http://schemas.microsoft.com/office/drawing/2014/main" id="{37C85210-94C3-4390-B1DE-31B0772828E5}"/>
            </a:ext>
          </a:extLst>
        </xdr:cNvPr>
        <xdr:cNvGrpSpPr>
          <a:grpSpLocks/>
        </xdr:cNvGrpSpPr>
      </xdr:nvGrpSpPr>
      <xdr:grpSpPr bwMode="auto">
        <a:xfrm>
          <a:off x="10422935" y="4323580"/>
          <a:ext cx="1608928" cy="355843"/>
          <a:chOff x="1731244" y="2463436"/>
          <a:chExt cx="1773956" cy="437988"/>
        </a:xfrm>
      </xdr:grpSpPr>
      <xdr:sp macro="" textlink="">
        <xdr:nvSpPr>
          <xdr:cNvPr id="107" name="Rectangle 106">
            <a:extLst>
              <a:ext uri="{FF2B5EF4-FFF2-40B4-BE49-F238E27FC236}">
                <a16:creationId xmlns:a16="http://schemas.microsoft.com/office/drawing/2014/main" id="{4A03CFDC-22F8-8A0B-6CC4-EC0212E5DA2F}"/>
              </a:ext>
            </a:extLst>
          </xdr:cNvPr>
          <xdr:cNvSpPr/>
        </xdr:nvSpPr>
        <xdr:spPr>
          <a:xfrm>
            <a:off x="1828800" y="2463436"/>
            <a:ext cx="1676400" cy="437988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  <xdr:sp macro="" textlink="">
        <xdr:nvSpPr>
          <xdr:cNvPr id="108" name="TextBox 5">
            <a:extLst>
              <a:ext uri="{FF2B5EF4-FFF2-40B4-BE49-F238E27FC236}">
                <a16:creationId xmlns:a16="http://schemas.microsoft.com/office/drawing/2014/main" id="{DB033EC1-043B-9EED-52D3-CD45346EA1F7}"/>
              </a:ext>
            </a:extLst>
          </xdr:cNvPr>
          <xdr:cNvSpPr txBox="1"/>
        </xdr:nvSpPr>
        <xdr:spPr>
          <a:xfrm>
            <a:off x="1731244" y="2506467"/>
            <a:ext cx="1613668" cy="38677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>
                <a:solidFill>
                  <a:schemeClr val="accent1"/>
                </a:solidFill>
              </a:rPr>
              <a:t>Compressing</a:t>
            </a:r>
            <a:r>
              <a:rPr lang="en-US" sz="1200" b="1" baseline="0">
                <a:solidFill>
                  <a:schemeClr val="accent1"/>
                </a:solidFill>
              </a:rPr>
              <a:t> </a:t>
            </a:r>
            <a:endParaRPr lang="en-US" sz="1200" b="1">
              <a:solidFill>
                <a:schemeClr val="accent1"/>
              </a:solidFill>
            </a:endParaRPr>
          </a:p>
        </xdr:txBody>
      </xdr:sp>
    </xdr:grpSp>
    <xdr:clientData/>
  </xdr:twoCellAnchor>
  <xdr:twoCellAnchor>
    <xdr:from>
      <xdr:col>22</xdr:col>
      <xdr:colOff>117345</xdr:colOff>
      <xdr:row>23</xdr:row>
      <xdr:rowOff>98951</xdr:rowOff>
    </xdr:from>
    <xdr:to>
      <xdr:col>23</xdr:col>
      <xdr:colOff>540398</xdr:colOff>
      <xdr:row>25</xdr:row>
      <xdr:rowOff>68818</xdr:rowOff>
    </xdr:to>
    <xdr:grpSp>
      <xdr:nvGrpSpPr>
        <xdr:cNvPr id="109" name="Group 82">
          <a:extLst>
            <a:ext uri="{FF2B5EF4-FFF2-40B4-BE49-F238E27FC236}">
              <a16:creationId xmlns:a16="http://schemas.microsoft.com/office/drawing/2014/main" id="{B34DF4FF-D5F1-48F6-8A6D-9D31B10AF919}"/>
            </a:ext>
          </a:extLst>
        </xdr:cNvPr>
        <xdr:cNvGrpSpPr>
          <a:grpSpLocks/>
        </xdr:cNvGrpSpPr>
      </xdr:nvGrpSpPr>
      <xdr:grpSpPr bwMode="auto">
        <a:xfrm>
          <a:off x="16290138" y="4329365"/>
          <a:ext cx="1487226" cy="337729"/>
          <a:chOff x="1828800" y="2463436"/>
          <a:chExt cx="1676400" cy="456456"/>
        </a:xfrm>
      </xdr:grpSpPr>
      <xdr:sp macro="" textlink="">
        <xdr:nvSpPr>
          <xdr:cNvPr id="110" name="Rectangle 109">
            <a:extLst>
              <a:ext uri="{FF2B5EF4-FFF2-40B4-BE49-F238E27FC236}">
                <a16:creationId xmlns:a16="http://schemas.microsoft.com/office/drawing/2014/main" id="{8EC80A0C-2984-8603-4E73-D36BF07E07B8}"/>
              </a:ext>
            </a:extLst>
          </xdr:cNvPr>
          <xdr:cNvSpPr/>
        </xdr:nvSpPr>
        <xdr:spPr>
          <a:xfrm>
            <a:off x="1828800" y="2463436"/>
            <a:ext cx="1676400" cy="437988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  <xdr:sp macro="" textlink="">
        <xdr:nvSpPr>
          <xdr:cNvPr id="111" name="TextBox 5">
            <a:extLst>
              <a:ext uri="{FF2B5EF4-FFF2-40B4-BE49-F238E27FC236}">
                <a16:creationId xmlns:a16="http://schemas.microsoft.com/office/drawing/2014/main" id="{D75C5EA1-E3F3-DC78-2132-9609DB37266A}"/>
              </a:ext>
            </a:extLst>
          </xdr:cNvPr>
          <xdr:cNvSpPr txBox="1"/>
        </xdr:nvSpPr>
        <xdr:spPr>
          <a:xfrm>
            <a:off x="1853333" y="2533115"/>
            <a:ext cx="1613668" cy="386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>
                <a:solidFill>
                  <a:schemeClr val="accent1"/>
                </a:solidFill>
              </a:rPr>
              <a:t>Paint  </a:t>
            </a:r>
          </a:p>
        </xdr:txBody>
      </xdr:sp>
    </xdr:grpSp>
    <xdr:clientData/>
  </xdr:twoCellAnchor>
  <xdr:twoCellAnchor>
    <xdr:from>
      <xdr:col>26</xdr:col>
      <xdr:colOff>19029</xdr:colOff>
      <xdr:row>23</xdr:row>
      <xdr:rowOff>87744</xdr:rowOff>
    </xdr:from>
    <xdr:to>
      <xdr:col>27</xdr:col>
      <xdr:colOff>591354</xdr:colOff>
      <xdr:row>25</xdr:row>
      <xdr:rowOff>57611</xdr:rowOff>
    </xdr:to>
    <xdr:grpSp>
      <xdr:nvGrpSpPr>
        <xdr:cNvPr id="112" name="Group 82">
          <a:extLst>
            <a:ext uri="{FF2B5EF4-FFF2-40B4-BE49-F238E27FC236}">
              <a16:creationId xmlns:a16="http://schemas.microsoft.com/office/drawing/2014/main" id="{36F23C44-B834-4B11-978B-470C42A0FE2B}"/>
            </a:ext>
          </a:extLst>
        </xdr:cNvPr>
        <xdr:cNvGrpSpPr>
          <a:grpSpLocks/>
        </xdr:cNvGrpSpPr>
      </xdr:nvGrpSpPr>
      <xdr:grpSpPr bwMode="auto">
        <a:xfrm>
          <a:off x="19594546" y="4318158"/>
          <a:ext cx="1491980" cy="337729"/>
          <a:chOff x="1828800" y="2463436"/>
          <a:chExt cx="1676400" cy="456456"/>
        </a:xfrm>
      </xdr:grpSpPr>
      <xdr:sp macro="" textlink="">
        <xdr:nvSpPr>
          <xdr:cNvPr id="113" name="Rectangle 112">
            <a:extLst>
              <a:ext uri="{FF2B5EF4-FFF2-40B4-BE49-F238E27FC236}">
                <a16:creationId xmlns:a16="http://schemas.microsoft.com/office/drawing/2014/main" id="{5A5B5C33-31AA-882F-6137-4E893F808F78}"/>
              </a:ext>
            </a:extLst>
          </xdr:cNvPr>
          <xdr:cNvSpPr/>
        </xdr:nvSpPr>
        <xdr:spPr>
          <a:xfrm>
            <a:off x="1828800" y="2463436"/>
            <a:ext cx="1676400" cy="437988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  <xdr:sp macro="" textlink="">
        <xdr:nvSpPr>
          <xdr:cNvPr id="114" name="TextBox 5">
            <a:extLst>
              <a:ext uri="{FF2B5EF4-FFF2-40B4-BE49-F238E27FC236}">
                <a16:creationId xmlns:a16="http://schemas.microsoft.com/office/drawing/2014/main" id="{EC6D8EA8-0771-6D9A-5EC3-0320F2540918}"/>
              </a:ext>
            </a:extLst>
          </xdr:cNvPr>
          <xdr:cNvSpPr txBox="1"/>
        </xdr:nvSpPr>
        <xdr:spPr>
          <a:xfrm>
            <a:off x="1853333" y="2533115"/>
            <a:ext cx="1613668" cy="386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>
                <a:solidFill>
                  <a:schemeClr val="accent1"/>
                </a:solidFill>
              </a:rPr>
              <a:t>Oven</a:t>
            </a:r>
          </a:p>
        </xdr:txBody>
      </xdr:sp>
    </xdr:grpSp>
    <xdr:clientData/>
  </xdr:twoCellAnchor>
  <xdr:twoCellAnchor>
    <xdr:from>
      <xdr:col>18</xdr:col>
      <xdr:colOff>198613</xdr:colOff>
      <xdr:row>22</xdr:row>
      <xdr:rowOff>163132</xdr:rowOff>
    </xdr:from>
    <xdr:to>
      <xdr:col>20</xdr:col>
      <xdr:colOff>913</xdr:colOff>
      <xdr:row>24</xdr:row>
      <xdr:rowOff>132999</xdr:rowOff>
    </xdr:to>
    <xdr:grpSp>
      <xdr:nvGrpSpPr>
        <xdr:cNvPr id="115" name="Group 82">
          <a:extLst>
            <a:ext uri="{FF2B5EF4-FFF2-40B4-BE49-F238E27FC236}">
              <a16:creationId xmlns:a16="http://schemas.microsoft.com/office/drawing/2014/main" id="{26F7A6CD-66D8-4DCA-BFE9-387FCFB53F5E}"/>
            </a:ext>
          </a:extLst>
        </xdr:cNvPr>
        <xdr:cNvGrpSpPr>
          <a:grpSpLocks/>
        </xdr:cNvGrpSpPr>
      </xdr:nvGrpSpPr>
      <xdr:grpSpPr bwMode="auto">
        <a:xfrm>
          <a:off x="13428510" y="4209615"/>
          <a:ext cx="1536506" cy="337729"/>
          <a:chOff x="1828800" y="2463436"/>
          <a:chExt cx="1676400" cy="456456"/>
        </a:xfrm>
      </xdr:grpSpPr>
      <xdr:sp macro="" textlink="">
        <xdr:nvSpPr>
          <xdr:cNvPr id="116" name="Rectangle 115">
            <a:extLst>
              <a:ext uri="{FF2B5EF4-FFF2-40B4-BE49-F238E27FC236}">
                <a16:creationId xmlns:a16="http://schemas.microsoft.com/office/drawing/2014/main" id="{BB743789-7D57-2762-3EE1-EB16932C0227}"/>
              </a:ext>
            </a:extLst>
          </xdr:cNvPr>
          <xdr:cNvSpPr/>
        </xdr:nvSpPr>
        <xdr:spPr>
          <a:xfrm>
            <a:off x="1828800" y="2463436"/>
            <a:ext cx="1676400" cy="437988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  <xdr:sp macro="" textlink="">
        <xdr:nvSpPr>
          <xdr:cNvPr id="117" name="TextBox 5">
            <a:extLst>
              <a:ext uri="{FF2B5EF4-FFF2-40B4-BE49-F238E27FC236}">
                <a16:creationId xmlns:a16="http://schemas.microsoft.com/office/drawing/2014/main" id="{BA4C6A70-33DA-A242-1B78-6C1B01E1FBD5}"/>
              </a:ext>
            </a:extLst>
          </xdr:cNvPr>
          <xdr:cNvSpPr txBox="1"/>
        </xdr:nvSpPr>
        <xdr:spPr>
          <a:xfrm>
            <a:off x="1853333" y="2533115"/>
            <a:ext cx="1613668" cy="386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>
                <a:solidFill>
                  <a:schemeClr val="accent1"/>
                </a:solidFill>
              </a:rPr>
              <a:t>Finishing </a:t>
            </a:r>
          </a:p>
        </xdr:txBody>
      </xdr:sp>
    </xdr:grpSp>
    <xdr:clientData/>
  </xdr:twoCellAnchor>
  <xdr:twoCellAnchor>
    <xdr:from>
      <xdr:col>30</xdr:col>
      <xdr:colOff>95646</xdr:colOff>
      <xdr:row>23</xdr:row>
      <xdr:rowOff>60952</xdr:rowOff>
    </xdr:from>
    <xdr:to>
      <xdr:col>32</xdr:col>
      <xdr:colOff>143</xdr:colOff>
      <xdr:row>25</xdr:row>
      <xdr:rowOff>30818</xdr:rowOff>
    </xdr:to>
    <xdr:grpSp>
      <xdr:nvGrpSpPr>
        <xdr:cNvPr id="118" name="Group 82">
          <a:extLst>
            <a:ext uri="{FF2B5EF4-FFF2-40B4-BE49-F238E27FC236}">
              <a16:creationId xmlns:a16="http://schemas.microsoft.com/office/drawing/2014/main" id="{86B06774-8159-47CD-BAA4-4041CCA718C3}"/>
            </a:ext>
          </a:extLst>
        </xdr:cNvPr>
        <xdr:cNvGrpSpPr>
          <a:grpSpLocks/>
        </xdr:cNvGrpSpPr>
      </xdr:nvGrpSpPr>
      <xdr:grpSpPr bwMode="auto">
        <a:xfrm>
          <a:off x="23126439" y="4291366"/>
          <a:ext cx="2151083" cy="337728"/>
          <a:chOff x="1828800" y="2463436"/>
          <a:chExt cx="1676400" cy="456455"/>
        </a:xfrm>
      </xdr:grpSpPr>
      <xdr:sp macro="" textlink="">
        <xdr:nvSpPr>
          <xdr:cNvPr id="119" name="Rectangle 118">
            <a:extLst>
              <a:ext uri="{FF2B5EF4-FFF2-40B4-BE49-F238E27FC236}">
                <a16:creationId xmlns:a16="http://schemas.microsoft.com/office/drawing/2014/main" id="{78BCDB4F-6336-C53F-D749-233A97AFF892}"/>
              </a:ext>
            </a:extLst>
          </xdr:cNvPr>
          <xdr:cNvSpPr/>
        </xdr:nvSpPr>
        <xdr:spPr>
          <a:xfrm>
            <a:off x="1828800" y="2463436"/>
            <a:ext cx="1676400" cy="437988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  <xdr:sp macro="" textlink="">
        <xdr:nvSpPr>
          <xdr:cNvPr id="120" name="TextBox 5">
            <a:extLst>
              <a:ext uri="{FF2B5EF4-FFF2-40B4-BE49-F238E27FC236}">
                <a16:creationId xmlns:a16="http://schemas.microsoft.com/office/drawing/2014/main" id="{C72CAB9C-29F9-6418-B630-E472B56D08F4}"/>
              </a:ext>
            </a:extLst>
          </xdr:cNvPr>
          <xdr:cNvSpPr txBox="1"/>
        </xdr:nvSpPr>
        <xdr:spPr>
          <a:xfrm>
            <a:off x="1853333" y="2533115"/>
            <a:ext cx="1613669" cy="38677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>
                <a:solidFill>
                  <a:schemeClr val="accent1"/>
                </a:solidFill>
              </a:rPr>
              <a:t>Accessory</a:t>
            </a:r>
            <a:r>
              <a:rPr lang="en-US" sz="1200" b="1" baseline="0">
                <a:solidFill>
                  <a:schemeClr val="accent1"/>
                </a:solidFill>
              </a:rPr>
              <a:t> Assmbly </a:t>
            </a:r>
            <a:r>
              <a:rPr lang="en-US" sz="1200" b="1">
                <a:solidFill>
                  <a:schemeClr val="accent1"/>
                </a:solidFill>
              </a:rPr>
              <a:t> </a:t>
            </a:r>
          </a:p>
        </xdr:txBody>
      </xdr:sp>
    </xdr:grpSp>
    <xdr:clientData/>
  </xdr:twoCellAnchor>
  <xdr:twoCellAnchor>
    <xdr:from>
      <xdr:col>4</xdr:col>
      <xdr:colOff>256918</xdr:colOff>
      <xdr:row>21</xdr:row>
      <xdr:rowOff>163096</xdr:rowOff>
    </xdr:from>
    <xdr:to>
      <xdr:col>5</xdr:col>
      <xdr:colOff>533147</xdr:colOff>
      <xdr:row>24</xdr:row>
      <xdr:rowOff>171558</xdr:rowOff>
    </xdr:to>
    <xdr:pic>
      <xdr:nvPicPr>
        <xdr:cNvPr id="121" name="Picture 5" descr="VSM-Icons_Inventory">
          <a:extLst>
            <a:ext uri="{FF2B5EF4-FFF2-40B4-BE49-F238E27FC236}">
              <a16:creationId xmlns:a16="http://schemas.microsoft.com/office/drawing/2014/main" id="{470B79A3-25EF-4995-B55D-5FFC1AC35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35" t="5746" r="9735" b="3448"/>
        <a:stretch>
          <a:fillRect/>
        </a:stretch>
      </xdr:blipFill>
      <xdr:spPr bwMode="auto">
        <a:xfrm>
          <a:off x="3442078" y="4003576"/>
          <a:ext cx="885829" cy="557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101600</xdr:colOff>
      <xdr:row>22</xdr:row>
      <xdr:rowOff>66040</xdr:rowOff>
    </xdr:from>
    <xdr:to>
      <xdr:col>9</xdr:col>
      <xdr:colOff>377829</xdr:colOff>
      <xdr:row>25</xdr:row>
      <xdr:rowOff>74502</xdr:rowOff>
    </xdr:to>
    <xdr:pic>
      <xdr:nvPicPr>
        <xdr:cNvPr id="122" name="Picture 5" descr="VSM-Icons_Inventory">
          <a:extLst>
            <a:ext uri="{FF2B5EF4-FFF2-40B4-BE49-F238E27FC236}">
              <a16:creationId xmlns:a16="http://schemas.microsoft.com/office/drawing/2014/main" id="{8F464986-A53A-4658-823B-CE23D7FEE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35" t="5746" r="9735" b="3448"/>
        <a:stretch>
          <a:fillRect/>
        </a:stretch>
      </xdr:blipFill>
      <xdr:spPr bwMode="auto">
        <a:xfrm>
          <a:off x="6372860" y="4089400"/>
          <a:ext cx="885829" cy="557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127061</xdr:colOff>
      <xdr:row>22</xdr:row>
      <xdr:rowOff>106574</xdr:rowOff>
    </xdr:from>
    <xdr:to>
      <xdr:col>17</xdr:col>
      <xdr:colOff>400332</xdr:colOff>
      <xdr:row>24</xdr:row>
      <xdr:rowOff>175738</xdr:rowOff>
    </xdr:to>
    <xdr:pic>
      <xdr:nvPicPr>
        <xdr:cNvPr id="123" name="Picture 5" descr="VSM-Icons_Inventory">
          <a:extLst>
            <a:ext uri="{FF2B5EF4-FFF2-40B4-BE49-F238E27FC236}">
              <a16:creationId xmlns:a16="http://schemas.microsoft.com/office/drawing/2014/main" id="{F41E393D-DC6C-4F61-B318-3ACD061F5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35" t="5746" r="9735" b="3448"/>
        <a:stretch>
          <a:fillRect/>
        </a:stretch>
      </xdr:blipFill>
      <xdr:spPr bwMode="auto">
        <a:xfrm>
          <a:off x="12174281" y="4129934"/>
          <a:ext cx="882871" cy="434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162000</xdr:colOff>
      <xdr:row>22</xdr:row>
      <xdr:rowOff>175845</xdr:rowOff>
    </xdr:from>
    <xdr:to>
      <xdr:col>21</xdr:col>
      <xdr:colOff>435271</xdr:colOff>
      <xdr:row>25</xdr:row>
      <xdr:rowOff>42629</xdr:rowOff>
    </xdr:to>
    <xdr:pic>
      <xdr:nvPicPr>
        <xdr:cNvPr id="124" name="Picture 5" descr="VSM-Icons_Inventory">
          <a:extLst>
            <a:ext uri="{FF2B5EF4-FFF2-40B4-BE49-F238E27FC236}">
              <a16:creationId xmlns:a16="http://schemas.microsoft.com/office/drawing/2014/main" id="{F5106FB5-309A-4589-903B-38A09C167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35" t="5746" r="9735" b="3448"/>
        <a:stretch>
          <a:fillRect/>
        </a:stretch>
      </xdr:blipFill>
      <xdr:spPr bwMode="auto">
        <a:xfrm>
          <a:off x="15165780" y="4199205"/>
          <a:ext cx="882871" cy="41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182217</xdr:colOff>
      <xdr:row>23</xdr:row>
      <xdr:rowOff>66261</xdr:rowOff>
    </xdr:from>
    <xdr:to>
      <xdr:col>25</xdr:col>
      <xdr:colOff>453947</xdr:colOff>
      <xdr:row>25</xdr:row>
      <xdr:rowOff>126819</xdr:rowOff>
    </xdr:to>
    <xdr:pic>
      <xdr:nvPicPr>
        <xdr:cNvPr id="125" name="Picture 5" descr="VSM-Icons_Inventory">
          <a:extLst>
            <a:ext uri="{FF2B5EF4-FFF2-40B4-BE49-F238E27FC236}">
              <a16:creationId xmlns:a16="http://schemas.microsoft.com/office/drawing/2014/main" id="{8E307827-5583-4F80-8D5B-DE26F195B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35" t="5746" r="9735" b="3448"/>
        <a:stretch>
          <a:fillRect/>
        </a:stretch>
      </xdr:blipFill>
      <xdr:spPr bwMode="auto">
        <a:xfrm>
          <a:off x="18321130" y="4257261"/>
          <a:ext cx="884643" cy="4249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50"/>
  <sheetViews>
    <sheetView tabSelected="1" zoomScale="51" zoomScaleNormal="83" workbookViewId="0">
      <selection activeCell="F43" sqref="F43"/>
    </sheetView>
  </sheetViews>
  <sheetFormatPr defaultRowHeight="14.4" x14ac:dyDescent="0.3"/>
  <cols>
    <col min="1" max="1" width="12.77734375" customWidth="1"/>
    <col min="2" max="2" width="8.44140625" customWidth="1"/>
    <col min="3" max="3" width="14.44140625" customWidth="1"/>
    <col min="4" max="4" width="10.77734375" customWidth="1"/>
    <col min="6" max="6" width="10.5546875" customWidth="1"/>
    <col min="7" max="7" width="13.88671875" customWidth="1"/>
    <col min="8" max="8" width="11.6640625" customWidth="1"/>
    <col min="11" max="11" width="14.77734375" customWidth="1"/>
    <col min="12" max="12" width="11.44140625" customWidth="1"/>
    <col min="15" max="15" width="10.77734375" customWidth="1"/>
    <col min="16" max="16" width="11.6640625" customWidth="1"/>
    <col min="19" max="19" width="12.44140625" customWidth="1"/>
    <col min="20" max="20" width="12.88671875" customWidth="1"/>
    <col min="23" max="23" width="15.5546875" customWidth="1"/>
    <col min="24" max="24" width="11.77734375" customWidth="1"/>
    <col min="26" max="26" width="13.6640625" customWidth="1"/>
    <col min="27" max="27" width="13.44140625" customWidth="1"/>
    <col min="28" max="28" width="11" customWidth="1"/>
    <col min="29" max="29" width="10" bestFit="1" customWidth="1"/>
    <col min="30" max="30" width="16.109375" customWidth="1"/>
    <col min="31" max="31" width="21.109375" customWidth="1"/>
    <col min="32" max="32" width="11.6640625" customWidth="1"/>
    <col min="33" max="33" width="15.6640625" customWidth="1"/>
    <col min="34" max="34" width="21.109375" customWidth="1"/>
    <col min="35" max="35" width="14.44140625" customWidth="1"/>
    <col min="36" max="36" width="18.33203125" customWidth="1"/>
    <col min="37" max="37" width="15.77734375" customWidth="1"/>
    <col min="38" max="38" width="15.109375" customWidth="1"/>
    <col min="39" max="39" width="11.88671875" customWidth="1"/>
    <col min="43" max="43" width="14.109375" customWidth="1"/>
  </cols>
  <sheetData>
    <row r="1" spans="1: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W4" s="1"/>
      <c r="X4" s="1"/>
    </row>
    <row r="5" spans="1:2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3">
      <c r="A14" s="1"/>
      <c r="B14" s="1"/>
      <c r="C14" s="1"/>
      <c r="D14" s="1"/>
      <c r="E14" s="1"/>
      <c r="F14" s="1"/>
      <c r="G14" s="1"/>
      <c r="H14" s="1"/>
      <c r="I14" s="1"/>
      <c r="J14" s="3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3">
      <c r="A15" s="1"/>
      <c r="B15" s="1"/>
      <c r="C15" s="1"/>
      <c r="D15" s="1"/>
      <c r="E15" s="1"/>
      <c r="F15" s="1"/>
      <c r="G15" s="1"/>
      <c r="H15" s="1"/>
      <c r="I15" s="1"/>
      <c r="J15" s="3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3">
      <c r="A16" s="1"/>
      <c r="B16" s="1"/>
      <c r="C16" s="1"/>
      <c r="D16" s="1"/>
      <c r="E16" s="1"/>
      <c r="F16" s="1"/>
      <c r="G16" s="1"/>
      <c r="H16" s="1"/>
      <c r="I16" s="1"/>
      <c r="J16" s="3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32" x14ac:dyDescent="0.3">
      <c r="A17" s="1"/>
      <c r="B17" s="1"/>
      <c r="C17" s="1"/>
      <c r="D17" s="1"/>
      <c r="E17" s="1"/>
      <c r="F17" s="1"/>
      <c r="G17" s="1"/>
      <c r="H17" s="1"/>
      <c r="I17" s="1"/>
      <c r="J17" s="33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32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32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32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32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32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32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32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32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32" ht="15" thickBot="1" x14ac:dyDescent="0.35">
      <c r="A26" s="1"/>
      <c r="B26" s="1"/>
    </row>
    <row r="27" spans="1:32" x14ac:dyDescent="0.3">
      <c r="A27" s="1"/>
      <c r="B27" s="1"/>
      <c r="C27" s="6" t="s">
        <v>5</v>
      </c>
      <c r="D27" s="17">
        <v>1</v>
      </c>
      <c r="E27" s="1"/>
      <c r="F27" s="1"/>
      <c r="G27" s="6" t="s">
        <v>5</v>
      </c>
      <c r="H27" s="17">
        <v>1</v>
      </c>
      <c r="I27" s="1"/>
      <c r="J27" s="1"/>
      <c r="K27" s="6" t="s">
        <v>5</v>
      </c>
      <c r="L27" s="17">
        <v>1</v>
      </c>
      <c r="M27" s="1"/>
      <c r="N27" s="1"/>
      <c r="O27" s="6" t="s">
        <v>5</v>
      </c>
      <c r="P27" s="17">
        <v>1</v>
      </c>
      <c r="Q27" s="1"/>
      <c r="R27" s="1"/>
      <c r="S27" s="6" t="s">
        <v>5</v>
      </c>
      <c r="T27" s="17">
        <v>1</v>
      </c>
      <c r="U27" s="1"/>
      <c r="V27" s="1"/>
      <c r="W27" s="6" t="s">
        <v>5</v>
      </c>
      <c r="X27" s="17">
        <v>1</v>
      </c>
      <c r="AA27" s="6" t="s">
        <v>5</v>
      </c>
      <c r="AB27" s="17">
        <v>1</v>
      </c>
      <c r="AE27" s="6" t="s">
        <v>5</v>
      </c>
      <c r="AF27" s="17">
        <v>1</v>
      </c>
    </row>
    <row r="28" spans="1:32" x14ac:dyDescent="0.3">
      <c r="A28" s="1"/>
      <c r="B28" s="1"/>
      <c r="C28" s="18" t="s">
        <v>6</v>
      </c>
      <c r="D28" s="11">
        <v>1</v>
      </c>
      <c r="E28" s="1"/>
      <c r="F28" s="1"/>
      <c r="G28" s="18" t="s">
        <v>6</v>
      </c>
      <c r="H28" s="11">
        <v>1</v>
      </c>
      <c r="I28" s="1"/>
      <c r="J28" s="1"/>
      <c r="K28" s="18" t="s">
        <v>6</v>
      </c>
      <c r="L28" s="11">
        <v>2</v>
      </c>
      <c r="M28" s="1"/>
      <c r="N28" s="1"/>
      <c r="O28" s="18" t="s">
        <v>6</v>
      </c>
      <c r="P28" s="11">
        <v>2</v>
      </c>
      <c r="Q28" s="1"/>
      <c r="R28" s="1"/>
      <c r="S28" s="18" t="s">
        <v>6</v>
      </c>
      <c r="T28" s="11">
        <v>2</v>
      </c>
      <c r="U28" s="1"/>
      <c r="V28" s="1"/>
      <c r="W28" s="18" t="s">
        <v>6</v>
      </c>
      <c r="X28" s="11">
        <v>1</v>
      </c>
      <c r="AA28" s="18" t="s">
        <v>6</v>
      </c>
      <c r="AB28" s="11">
        <v>1</v>
      </c>
      <c r="AE28" s="18" t="s">
        <v>6</v>
      </c>
      <c r="AF28" s="11">
        <v>3</v>
      </c>
    </row>
    <row r="29" spans="1:32" x14ac:dyDescent="0.3">
      <c r="A29" s="1"/>
      <c r="B29" s="1"/>
      <c r="C29" s="19" t="s">
        <v>9</v>
      </c>
      <c r="D29" s="8" t="s">
        <v>28</v>
      </c>
      <c r="G29" s="19" t="s">
        <v>9</v>
      </c>
      <c r="H29" s="8" t="s">
        <v>29</v>
      </c>
      <c r="K29" s="19" t="s">
        <v>9</v>
      </c>
      <c r="L29" s="8" t="s">
        <v>16</v>
      </c>
      <c r="O29" s="19" t="s">
        <v>9</v>
      </c>
      <c r="P29" s="22" t="s">
        <v>20</v>
      </c>
      <c r="S29" s="19" t="s">
        <v>9</v>
      </c>
      <c r="T29" s="22" t="s">
        <v>30</v>
      </c>
      <c r="W29" s="19" t="s">
        <v>9</v>
      </c>
      <c r="X29" s="8" t="s">
        <v>31</v>
      </c>
      <c r="AA29" s="19" t="s">
        <v>9</v>
      </c>
      <c r="AB29" s="8" t="s">
        <v>34</v>
      </c>
      <c r="AE29" s="19" t="s">
        <v>9</v>
      </c>
      <c r="AF29" s="8" t="s">
        <v>35</v>
      </c>
    </row>
    <row r="30" spans="1:32" x14ac:dyDescent="0.3">
      <c r="A30" s="1"/>
      <c r="B30" s="1"/>
      <c r="C30" s="19" t="s">
        <v>10</v>
      </c>
      <c r="D30" s="22" t="s">
        <v>13</v>
      </c>
      <c r="G30" s="19" t="s">
        <v>10</v>
      </c>
      <c r="H30" s="22" t="s">
        <v>4</v>
      </c>
      <c r="K30" s="19" t="s">
        <v>10</v>
      </c>
      <c r="L30" s="22" t="s">
        <v>17</v>
      </c>
      <c r="O30" s="19" t="s">
        <v>10</v>
      </c>
      <c r="P30" s="22" t="s">
        <v>12</v>
      </c>
      <c r="S30" s="19" t="s">
        <v>10</v>
      </c>
      <c r="T30" s="22" t="s">
        <v>23</v>
      </c>
      <c r="W30" s="19" t="s">
        <v>10</v>
      </c>
      <c r="X30" s="22" t="s">
        <v>25</v>
      </c>
      <c r="AA30" s="19" t="s">
        <v>10</v>
      </c>
      <c r="AB30" s="22" t="s">
        <v>32</v>
      </c>
      <c r="AE30" s="19" t="s">
        <v>10</v>
      </c>
      <c r="AF30" s="22" t="s">
        <v>26</v>
      </c>
    </row>
    <row r="31" spans="1:32" ht="15" thickBot="1" x14ac:dyDescent="0.35">
      <c r="A31" s="1"/>
      <c r="B31" s="1"/>
      <c r="C31" s="20" t="s">
        <v>11</v>
      </c>
      <c r="D31" s="21" t="s">
        <v>38</v>
      </c>
      <c r="E31" s="1"/>
      <c r="F31" s="1"/>
      <c r="G31" s="20" t="s">
        <v>11</v>
      </c>
      <c r="H31" s="21" t="s">
        <v>39</v>
      </c>
      <c r="I31" s="1"/>
      <c r="J31" s="1"/>
      <c r="K31" s="20" t="s">
        <v>11</v>
      </c>
      <c r="L31" s="21" t="s">
        <v>19</v>
      </c>
      <c r="M31" s="1"/>
      <c r="N31" s="1"/>
      <c r="O31" s="20" t="s">
        <v>11</v>
      </c>
      <c r="P31" s="21" t="s">
        <v>21</v>
      </c>
      <c r="Q31" s="1"/>
      <c r="R31" s="1"/>
      <c r="S31" s="20" t="s">
        <v>11</v>
      </c>
      <c r="T31" s="21" t="s">
        <v>40</v>
      </c>
      <c r="U31" s="1"/>
      <c r="V31" s="1"/>
      <c r="W31" s="20" t="s">
        <v>11</v>
      </c>
      <c r="X31" s="21" t="s">
        <v>15</v>
      </c>
      <c r="AA31" s="20" t="s">
        <v>11</v>
      </c>
      <c r="AB31" s="21" t="s">
        <v>42</v>
      </c>
      <c r="AE31" s="20" t="s">
        <v>11</v>
      </c>
      <c r="AF31" s="21" t="s">
        <v>43</v>
      </c>
    </row>
    <row r="32" spans="1:32" ht="15" thickBot="1" x14ac:dyDescent="0.35">
      <c r="A32" s="1"/>
      <c r="B32" s="1"/>
      <c r="C32" s="28" t="s">
        <v>37</v>
      </c>
      <c r="D32" s="29">
        <v>0.9</v>
      </c>
      <c r="G32" s="28" t="s">
        <v>37</v>
      </c>
      <c r="H32" s="29">
        <v>0.85</v>
      </c>
      <c r="K32" s="28" t="s">
        <v>37</v>
      </c>
      <c r="L32" s="29">
        <v>0.95</v>
      </c>
      <c r="O32" s="28" t="s">
        <v>37</v>
      </c>
      <c r="P32" s="29">
        <v>0.95</v>
      </c>
      <c r="S32" s="28" t="s">
        <v>37</v>
      </c>
      <c r="T32" s="29">
        <v>0.8</v>
      </c>
      <c r="W32" s="28" t="s">
        <v>37</v>
      </c>
      <c r="X32" s="30">
        <v>0.83499999999999996</v>
      </c>
      <c r="AA32" s="28" t="s">
        <v>37</v>
      </c>
      <c r="AB32" s="29">
        <v>0.9</v>
      </c>
      <c r="AE32" s="28" t="s">
        <v>37</v>
      </c>
      <c r="AF32" s="29">
        <v>0.95</v>
      </c>
    </row>
    <row r="33" spans="1:72" ht="15" thickBot="1" x14ac:dyDescent="0.35">
      <c r="A33" s="1"/>
      <c r="B33" s="1"/>
      <c r="C33" s="1"/>
      <c r="D33" s="1"/>
      <c r="E33" s="1"/>
      <c r="F33" s="1"/>
      <c r="G33" s="1"/>
      <c r="H33" s="1"/>
      <c r="I33" s="1"/>
      <c r="J33" s="34"/>
      <c r="K33" s="34"/>
      <c r="L33" s="1"/>
      <c r="M33" s="1"/>
      <c r="N33" s="1"/>
      <c r="O33" s="34"/>
      <c r="P33" s="34"/>
      <c r="Q33" s="1"/>
      <c r="R33" s="1"/>
      <c r="S33" s="34"/>
      <c r="T33" s="34"/>
      <c r="U33" s="1"/>
    </row>
    <row r="34" spans="1:72" x14ac:dyDescent="0.3">
      <c r="A34" s="27" t="str">
        <f>5*60 + 4 &amp; " min"</f>
        <v>304 min</v>
      </c>
      <c r="C34" s="1"/>
      <c r="D34" s="1"/>
      <c r="E34" s="1"/>
      <c r="F34" s="27" t="s">
        <v>14</v>
      </c>
      <c r="G34" s="1"/>
      <c r="H34" s="1"/>
      <c r="I34" s="1"/>
      <c r="J34" s="35" t="s">
        <v>18</v>
      </c>
      <c r="K34" s="35"/>
      <c r="L34" s="1"/>
      <c r="M34" s="1"/>
      <c r="N34" s="1"/>
      <c r="O34" s="35" t="s">
        <v>22</v>
      </c>
      <c r="P34" s="35"/>
      <c r="Q34" s="1"/>
      <c r="R34" s="1"/>
      <c r="S34" s="1"/>
      <c r="T34" s="36" t="s">
        <v>24</v>
      </c>
      <c r="U34" s="36"/>
      <c r="X34" s="26" t="s">
        <v>25</v>
      </c>
      <c r="AA34" s="25" t="s">
        <v>32</v>
      </c>
      <c r="AD34" s="24" t="s">
        <v>26</v>
      </c>
      <c r="AF34" t="s">
        <v>7</v>
      </c>
      <c r="AG34" s="6"/>
      <c r="AH34" s="7" t="s">
        <v>0</v>
      </c>
    </row>
    <row r="35" spans="1:72" ht="15.6" x14ac:dyDescent="0.3">
      <c r="A35" s="1"/>
      <c r="B35" s="1"/>
      <c r="C35" s="1" t="s">
        <v>27</v>
      </c>
      <c r="D35" s="1"/>
      <c r="E35" s="1"/>
      <c r="F35" s="1"/>
      <c r="G35" s="12" t="s">
        <v>29</v>
      </c>
      <c r="H35" s="2"/>
      <c r="I35" s="3"/>
      <c r="J35" s="1"/>
      <c r="K35" s="1"/>
      <c r="L35" s="12" t="s">
        <v>16</v>
      </c>
      <c r="M35" s="1"/>
      <c r="N35" s="1"/>
      <c r="O35" s="1"/>
      <c r="P35" s="1"/>
      <c r="Q35" s="1" t="s">
        <v>20</v>
      </c>
      <c r="R35" s="10"/>
      <c r="S35" s="1"/>
      <c r="T35" s="1"/>
      <c r="U35" s="1"/>
      <c r="V35" t="s">
        <v>41</v>
      </c>
      <c r="Z35" t="s">
        <v>31</v>
      </c>
      <c r="AC35" t="s">
        <v>33</v>
      </c>
      <c r="AE35" s="13" t="s">
        <v>36</v>
      </c>
      <c r="AG35" s="9" t="s">
        <v>1</v>
      </c>
      <c r="AH35" s="8">
        <f>304+20+90+1+30+15+12+35</f>
        <v>507</v>
      </c>
    </row>
    <row r="36" spans="1:72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AG36" s="9" t="s">
        <v>2</v>
      </c>
      <c r="AH36" s="8">
        <f>6+2.5+8+6.2+9+6.5+55+13</f>
        <v>106.2</v>
      </c>
    </row>
    <row r="37" spans="1:72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AG37" s="14" t="s">
        <v>3</v>
      </c>
      <c r="AH37" s="15">
        <f>AH36/AH35</f>
        <v>0.20946745562130178</v>
      </c>
    </row>
    <row r="38" spans="1:72" ht="15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AG38" s="16" t="s">
        <v>8</v>
      </c>
      <c r="AH38" s="23">
        <f>SUM(D28,H28,L28,P28,T28,X28,AB28,AF28)</f>
        <v>13</v>
      </c>
    </row>
    <row r="39" spans="1:72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AG39" s="19" t="s">
        <v>44</v>
      </c>
      <c r="AH39" s="31">
        <f>D32*H32*L32*P32*T32*X32*AB32*AF32%</f>
        <v>3.9432219524999992E-3</v>
      </c>
    </row>
    <row r="40" spans="1:72" ht="15" thickBo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AG40" s="16" t="s">
        <v>45</v>
      </c>
      <c r="AH40" s="32" t="str">
        <f>480/3.33 &amp;" Min"</f>
        <v>144.144144144144 Min</v>
      </c>
      <c r="BD40" s="1"/>
    </row>
    <row r="41" spans="1:72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AH41">
        <f>AH36+AH35</f>
        <v>613.20000000000005</v>
      </c>
    </row>
    <row r="42" spans="1:72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72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72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BQ44" s="1"/>
      <c r="BR44" s="4"/>
    </row>
    <row r="45" spans="1:72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5"/>
      <c r="W45" s="1"/>
      <c r="X45" s="1"/>
      <c r="BO45" s="1"/>
      <c r="BP45" s="1"/>
      <c r="BQ45" s="1"/>
    </row>
    <row r="46" spans="1:72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5"/>
      <c r="W46" s="1"/>
      <c r="X46" s="1"/>
      <c r="BO46" s="1"/>
      <c r="BP46" s="1"/>
      <c r="BQ46" s="1"/>
    </row>
    <row r="47" spans="1:72" x14ac:dyDescent="0.3">
      <c r="BO47" s="34"/>
      <c r="BP47" s="34"/>
      <c r="BQ47" s="34"/>
      <c r="BR47" s="34"/>
      <c r="BS47" s="34"/>
      <c r="BT47" s="34"/>
    </row>
    <row r="48" spans="1:72" x14ac:dyDescent="0.3">
      <c r="BO48" s="1"/>
      <c r="BP48" s="34"/>
      <c r="BQ48" s="34"/>
    </row>
    <row r="49" spans="67:71" x14ac:dyDescent="0.3">
      <c r="BO49" s="1"/>
      <c r="BP49" s="34"/>
      <c r="BQ49" s="34"/>
    </row>
    <row r="50" spans="67:71" x14ac:dyDescent="0.3">
      <c r="BO50" s="1"/>
      <c r="BP50" s="34"/>
      <c r="BQ50" s="34"/>
      <c r="BR50" s="37"/>
      <c r="BS50" s="37"/>
    </row>
  </sheetData>
  <mergeCells count="12">
    <mergeCell ref="BP50:BQ50"/>
    <mergeCell ref="BR50:BS50"/>
    <mergeCell ref="J14:J17"/>
    <mergeCell ref="J33:K33"/>
    <mergeCell ref="O33:P33"/>
    <mergeCell ref="S33:T33"/>
    <mergeCell ref="J34:K34"/>
    <mergeCell ref="O34:P34"/>
    <mergeCell ref="T34:U34"/>
    <mergeCell ref="BO47:BT47"/>
    <mergeCell ref="BP48:BQ48"/>
    <mergeCell ref="BP49:BQ4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3D9DF-FF23-4C4B-BBB0-FFB9485BCCBB}">
  <dimension ref="A1:BT50"/>
  <sheetViews>
    <sheetView topLeftCell="P1" zoomScale="58" workbookViewId="0">
      <selection activeCell="AI39" sqref="AI39"/>
    </sheetView>
  </sheetViews>
  <sheetFormatPr defaultRowHeight="14.4" x14ac:dyDescent="0.3"/>
  <cols>
    <col min="1" max="1" width="12.77734375" customWidth="1"/>
    <col min="2" max="2" width="8.44140625" customWidth="1"/>
    <col min="3" max="3" width="14.44140625" customWidth="1"/>
    <col min="4" max="4" width="10.77734375" customWidth="1"/>
    <col min="6" max="6" width="10.5546875" customWidth="1"/>
    <col min="7" max="7" width="13.88671875" customWidth="1"/>
    <col min="8" max="8" width="11.6640625" customWidth="1"/>
    <col min="11" max="11" width="14.77734375" customWidth="1"/>
    <col min="12" max="12" width="11.44140625" customWidth="1"/>
    <col min="15" max="15" width="10.77734375" customWidth="1"/>
    <col min="16" max="16" width="11.6640625" customWidth="1"/>
    <col min="19" max="19" width="12.44140625" customWidth="1"/>
    <col min="20" max="20" width="12.88671875" customWidth="1"/>
    <col min="23" max="23" width="15.5546875" customWidth="1"/>
    <col min="24" max="24" width="11.77734375" customWidth="1"/>
    <col min="26" max="26" width="13.6640625" customWidth="1"/>
    <col min="27" max="27" width="13.44140625" customWidth="1"/>
    <col min="28" max="28" width="11" customWidth="1"/>
    <col min="29" max="29" width="10" bestFit="1" customWidth="1"/>
    <col min="30" max="30" width="16.109375" customWidth="1"/>
    <col min="31" max="31" width="21.109375" customWidth="1"/>
    <col min="32" max="32" width="11.6640625" customWidth="1"/>
    <col min="33" max="33" width="15.6640625" customWidth="1"/>
    <col min="34" max="34" width="21.109375" customWidth="1"/>
    <col min="35" max="35" width="14.44140625" customWidth="1"/>
    <col min="36" max="36" width="18.33203125" customWidth="1"/>
    <col min="37" max="37" width="15.77734375" customWidth="1"/>
    <col min="38" max="38" width="15.109375" customWidth="1"/>
    <col min="39" max="39" width="11.88671875" customWidth="1"/>
    <col min="43" max="43" width="14.109375" customWidth="1"/>
  </cols>
  <sheetData>
    <row r="1" spans="1: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W4" s="1"/>
      <c r="X4" s="1"/>
    </row>
    <row r="5" spans="1:2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3">
      <c r="A14" s="1"/>
      <c r="B14" s="1"/>
      <c r="C14" s="1"/>
      <c r="D14" s="1"/>
      <c r="E14" s="1"/>
      <c r="F14" s="1"/>
      <c r="G14" s="1"/>
      <c r="H14" s="1"/>
      <c r="I14" s="1"/>
      <c r="J14" s="3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3">
      <c r="A15" s="1"/>
      <c r="B15" s="1"/>
      <c r="C15" s="1"/>
      <c r="D15" s="1"/>
      <c r="E15" s="1"/>
      <c r="F15" s="1"/>
      <c r="G15" s="1"/>
      <c r="H15" s="1"/>
      <c r="I15" s="1"/>
      <c r="J15" s="3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3">
      <c r="A16" s="1"/>
      <c r="B16" s="1"/>
      <c r="C16" s="1"/>
      <c r="D16" s="1"/>
      <c r="E16" s="1"/>
      <c r="F16" s="1"/>
      <c r="G16" s="1"/>
      <c r="H16" s="1"/>
      <c r="I16" s="1"/>
      <c r="J16" s="3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32" x14ac:dyDescent="0.3">
      <c r="A17" s="1"/>
      <c r="B17" s="1"/>
      <c r="C17" s="1"/>
      <c r="D17" s="1"/>
      <c r="E17" s="1"/>
      <c r="F17" s="1"/>
      <c r="G17" s="1"/>
      <c r="H17" s="1"/>
      <c r="I17" s="1"/>
      <c r="J17" s="33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32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32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32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32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32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32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32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32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32" ht="15" thickBot="1" x14ac:dyDescent="0.35">
      <c r="A26" s="1"/>
      <c r="B26" s="1"/>
    </row>
    <row r="27" spans="1:32" x14ac:dyDescent="0.3">
      <c r="A27" s="1"/>
      <c r="B27" s="1"/>
      <c r="C27" s="6" t="s">
        <v>5</v>
      </c>
      <c r="D27" s="17">
        <v>1</v>
      </c>
      <c r="E27" s="1"/>
      <c r="F27" s="1"/>
      <c r="G27" s="6" t="s">
        <v>5</v>
      </c>
      <c r="H27" s="17">
        <v>1</v>
      </c>
      <c r="I27" s="1"/>
      <c r="J27" s="1"/>
      <c r="K27" s="6" t="s">
        <v>5</v>
      </c>
      <c r="L27" s="17">
        <v>1</v>
      </c>
      <c r="M27" s="1"/>
      <c r="N27" s="1"/>
      <c r="O27" s="6" t="s">
        <v>5</v>
      </c>
      <c r="P27" s="17">
        <v>1</v>
      </c>
      <c r="Q27" s="1"/>
      <c r="R27" s="1"/>
      <c r="S27" s="6" t="s">
        <v>5</v>
      </c>
      <c r="T27" s="17">
        <v>1</v>
      </c>
      <c r="U27" s="1"/>
      <c r="V27" s="1"/>
      <c r="W27" s="6" t="s">
        <v>5</v>
      </c>
      <c r="X27" s="17">
        <v>1</v>
      </c>
      <c r="AA27" s="6" t="s">
        <v>5</v>
      </c>
      <c r="AB27" s="17">
        <v>1</v>
      </c>
      <c r="AE27" s="6" t="s">
        <v>5</v>
      </c>
      <c r="AF27" s="17">
        <v>1</v>
      </c>
    </row>
    <row r="28" spans="1:32" x14ac:dyDescent="0.3">
      <c r="A28" s="1"/>
      <c r="B28" s="1"/>
      <c r="C28" s="18" t="s">
        <v>6</v>
      </c>
      <c r="D28" s="11">
        <v>1</v>
      </c>
      <c r="E28" s="1"/>
      <c r="F28" s="1"/>
      <c r="G28" s="18" t="s">
        <v>6</v>
      </c>
      <c r="H28" s="11">
        <v>1</v>
      </c>
      <c r="I28" s="1"/>
      <c r="J28" s="1"/>
      <c r="K28" s="18" t="s">
        <v>6</v>
      </c>
      <c r="L28" s="11">
        <v>2</v>
      </c>
      <c r="M28" s="1"/>
      <c r="N28" s="1"/>
      <c r="O28" s="18" t="s">
        <v>6</v>
      </c>
      <c r="P28" s="11">
        <v>2</v>
      </c>
      <c r="Q28" s="1"/>
      <c r="R28" s="1"/>
      <c r="S28" s="18" t="s">
        <v>6</v>
      </c>
      <c r="T28" s="11">
        <v>2</v>
      </c>
      <c r="U28" s="1"/>
      <c r="V28" s="1"/>
      <c r="W28" s="18" t="s">
        <v>6</v>
      </c>
      <c r="X28" s="11">
        <v>1</v>
      </c>
      <c r="AA28" s="18" t="s">
        <v>6</v>
      </c>
      <c r="AB28" s="11">
        <v>1</v>
      </c>
      <c r="AE28" s="18" t="s">
        <v>6</v>
      </c>
      <c r="AF28" s="11">
        <v>3</v>
      </c>
    </row>
    <row r="29" spans="1:32" x14ac:dyDescent="0.3">
      <c r="A29" s="1"/>
      <c r="B29" s="1"/>
      <c r="C29" s="19" t="s">
        <v>9</v>
      </c>
      <c r="D29" s="8" t="s">
        <v>28</v>
      </c>
      <c r="G29" s="19" t="s">
        <v>9</v>
      </c>
      <c r="H29" s="8" t="s">
        <v>29</v>
      </c>
      <c r="K29" s="19" t="s">
        <v>9</v>
      </c>
      <c r="L29" s="8" t="s">
        <v>16</v>
      </c>
      <c r="O29" s="19" t="s">
        <v>9</v>
      </c>
      <c r="P29" s="22" t="s">
        <v>20</v>
      </c>
      <c r="S29" s="19" t="s">
        <v>9</v>
      </c>
      <c r="T29" s="22" t="s">
        <v>28</v>
      </c>
      <c r="W29" s="19" t="s">
        <v>9</v>
      </c>
      <c r="X29" s="8" t="s">
        <v>31</v>
      </c>
      <c r="AA29" s="19" t="s">
        <v>9</v>
      </c>
      <c r="AB29" s="8" t="s">
        <v>34</v>
      </c>
      <c r="AE29" s="19" t="s">
        <v>9</v>
      </c>
      <c r="AF29" s="8" t="s">
        <v>35</v>
      </c>
    </row>
    <row r="30" spans="1:32" x14ac:dyDescent="0.3">
      <c r="A30" s="1"/>
      <c r="B30" s="1"/>
      <c r="C30" s="19" t="s">
        <v>10</v>
      </c>
      <c r="D30" s="22" t="s">
        <v>13</v>
      </c>
      <c r="G30" s="19" t="s">
        <v>10</v>
      </c>
      <c r="H30" s="22" t="s">
        <v>4</v>
      </c>
      <c r="K30" s="19" t="s">
        <v>10</v>
      </c>
      <c r="L30" s="22" t="s">
        <v>50</v>
      </c>
      <c r="O30" s="19" t="s">
        <v>10</v>
      </c>
      <c r="P30" s="22" t="s">
        <v>12</v>
      </c>
      <c r="S30" s="19" t="s">
        <v>10</v>
      </c>
      <c r="T30" s="22" t="s">
        <v>23</v>
      </c>
      <c r="W30" s="19" t="s">
        <v>10</v>
      </c>
      <c r="X30" s="22" t="s">
        <v>25</v>
      </c>
      <c r="AA30" s="19" t="s">
        <v>10</v>
      </c>
      <c r="AB30" s="22" t="s">
        <v>47</v>
      </c>
      <c r="AE30" s="19" t="s">
        <v>10</v>
      </c>
      <c r="AF30" s="22" t="s">
        <v>26</v>
      </c>
    </row>
    <row r="31" spans="1:32" ht="15" thickBot="1" x14ac:dyDescent="0.35">
      <c r="A31" s="1"/>
      <c r="B31" s="1"/>
      <c r="C31" s="20" t="s">
        <v>11</v>
      </c>
      <c r="D31" s="21" t="s">
        <v>38</v>
      </c>
      <c r="E31" s="1"/>
      <c r="F31" s="1"/>
      <c r="G31" s="20" t="s">
        <v>11</v>
      </c>
      <c r="H31" s="21" t="s">
        <v>39</v>
      </c>
      <c r="I31" s="1"/>
      <c r="J31" s="1"/>
      <c r="K31" s="20" t="s">
        <v>11</v>
      </c>
      <c r="L31" s="21" t="s">
        <v>46</v>
      </c>
      <c r="M31" s="1"/>
      <c r="N31" s="1"/>
      <c r="O31" s="20" t="s">
        <v>11</v>
      </c>
      <c r="P31" s="21" t="s">
        <v>21</v>
      </c>
      <c r="Q31" s="1"/>
      <c r="R31" s="1"/>
      <c r="S31" s="20" t="s">
        <v>11</v>
      </c>
      <c r="T31" s="21" t="s">
        <v>40</v>
      </c>
      <c r="U31" s="1"/>
      <c r="V31" s="1"/>
      <c r="W31" s="20" t="s">
        <v>11</v>
      </c>
      <c r="X31" s="21" t="s">
        <v>15</v>
      </c>
      <c r="AA31" s="20" t="s">
        <v>11</v>
      </c>
      <c r="AB31" s="21" t="s">
        <v>42</v>
      </c>
      <c r="AE31" s="20" t="s">
        <v>11</v>
      </c>
      <c r="AF31" s="21" t="s">
        <v>43</v>
      </c>
    </row>
    <row r="32" spans="1:32" ht="15" thickBot="1" x14ac:dyDescent="0.35">
      <c r="A32" s="1"/>
      <c r="B32" s="1"/>
      <c r="C32" s="28" t="s">
        <v>37</v>
      </c>
      <c r="D32" s="29">
        <v>0.9</v>
      </c>
      <c r="G32" s="28" t="s">
        <v>37</v>
      </c>
      <c r="H32" s="29">
        <v>0.85</v>
      </c>
      <c r="K32" s="28" t="s">
        <v>37</v>
      </c>
      <c r="L32" s="29">
        <v>0.96</v>
      </c>
      <c r="O32" s="28" t="s">
        <v>37</v>
      </c>
      <c r="P32" s="29">
        <v>0.95</v>
      </c>
      <c r="S32" s="28" t="s">
        <v>37</v>
      </c>
      <c r="T32" s="29">
        <v>0.93500000000000005</v>
      </c>
      <c r="W32" s="28" t="s">
        <v>37</v>
      </c>
      <c r="X32" s="30">
        <v>0.83499999999999996</v>
      </c>
      <c r="AA32" s="28" t="s">
        <v>37</v>
      </c>
      <c r="AB32" s="29">
        <v>0.9</v>
      </c>
      <c r="AE32" s="28" t="s">
        <v>37</v>
      </c>
      <c r="AF32" s="29">
        <v>0.95</v>
      </c>
    </row>
    <row r="33" spans="1:72" ht="15" thickBot="1" x14ac:dyDescent="0.35">
      <c r="A33" s="1"/>
      <c r="B33" s="1"/>
      <c r="C33" s="1"/>
      <c r="D33" s="1"/>
      <c r="E33" s="1"/>
      <c r="F33" s="1"/>
      <c r="G33" s="1"/>
      <c r="H33" s="1"/>
      <c r="I33" s="1"/>
      <c r="J33" s="34"/>
      <c r="K33" s="34"/>
      <c r="L33" s="1"/>
      <c r="M33" s="1"/>
      <c r="N33" s="1"/>
      <c r="O33" s="34"/>
      <c r="P33" s="34"/>
      <c r="Q33" s="1"/>
      <c r="R33" s="1"/>
      <c r="S33" s="34"/>
      <c r="T33" s="34"/>
      <c r="U33" s="1"/>
    </row>
    <row r="34" spans="1:72" x14ac:dyDescent="0.3">
      <c r="A34" s="27" t="str">
        <f>5*60 + 4 &amp; " min"</f>
        <v>304 min</v>
      </c>
      <c r="C34" s="1"/>
      <c r="D34" s="1"/>
      <c r="E34" s="1"/>
      <c r="F34" s="27" t="s">
        <v>14</v>
      </c>
      <c r="G34" s="1"/>
      <c r="H34" s="1"/>
      <c r="I34" s="1"/>
      <c r="J34" s="35" t="s">
        <v>49</v>
      </c>
      <c r="K34" s="35"/>
      <c r="L34" s="1"/>
      <c r="M34" s="1"/>
      <c r="N34" s="1"/>
      <c r="O34" s="35" t="s">
        <v>22</v>
      </c>
      <c r="P34" s="35"/>
      <c r="Q34" s="1"/>
      <c r="R34" s="1"/>
      <c r="S34" s="1"/>
      <c r="T34" s="36" t="s">
        <v>24</v>
      </c>
      <c r="U34" s="36"/>
      <c r="X34" s="26" t="s">
        <v>25</v>
      </c>
      <c r="AA34" s="25" t="s">
        <v>47</v>
      </c>
      <c r="AD34" s="24" t="s">
        <v>48</v>
      </c>
      <c r="AF34" t="s">
        <v>7</v>
      </c>
      <c r="AG34" s="6"/>
      <c r="AH34" s="7" t="s">
        <v>0</v>
      </c>
    </row>
    <row r="35" spans="1:72" ht="15.6" x14ac:dyDescent="0.3">
      <c r="A35" s="1"/>
      <c r="B35" s="1"/>
      <c r="C35" s="1" t="s">
        <v>27</v>
      </c>
      <c r="D35" s="1"/>
      <c r="E35" s="1"/>
      <c r="F35" s="1"/>
      <c r="G35" s="12" t="s">
        <v>29</v>
      </c>
      <c r="H35" s="2"/>
      <c r="I35" s="3"/>
      <c r="J35" s="1"/>
      <c r="K35" s="1"/>
      <c r="L35" s="12" t="s">
        <v>16</v>
      </c>
      <c r="M35" s="1"/>
      <c r="N35" s="1"/>
      <c r="O35" s="1"/>
      <c r="P35" s="1"/>
      <c r="Q35" s="1" t="s">
        <v>20</v>
      </c>
      <c r="R35" s="10"/>
      <c r="S35" s="1"/>
      <c r="T35" s="1"/>
      <c r="U35" s="1"/>
      <c r="V35" t="s">
        <v>27</v>
      </c>
      <c r="Z35" t="s">
        <v>31</v>
      </c>
      <c r="AC35" t="s">
        <v>33</v>
      </c>
      <c r="AE35" s="13" t="s">
        <v>36</v>
      </c>
      <c r="AG35" s="9" t="s">
        <v>1</v>
      </c>
      <c r="AH35" s="8">
        <f>304+20+80+1+30+15+5+3</f>
        <v>458</v>
      </c>
    </row>
    <row r="36" spans="1:72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AG36" s="9" t="s">
        <v>2</v>
      </c>
      <c r="AH36" s="8">
        <f>6+2.5+8+6.2+6+6.5+55+13</f>
        <v>103.2</v>
      </c>
    </row>
    <row r="37" spans="1:72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AG37" s="14" t="s">
        <v>3</v>
      </c>
      <c r="AH37" s="15">
        <f>AH36/AH35</f>
        <v>0.22532751091703057</v>
      </c>
    </row>
    <row r="38" spans="1:72" ht="15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AG38" s="16" t="s">
        <v>8</v>
      </c>
      <c r="AH38" s="23">
        <f>SUM(D28,H28,L28,P28,T28,X28,AB28,AF28)</f>
        <v>13</v>
      </c>
    </row>
    <row r="39" spans="1:72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AG39" s="19" t="s">
        <v>44</v>
      </c>
      <c r="AH39" s="31">
        <f>D32*H32*L32*P32*T32*X32*AB32*AF32%</f>
        <v>4.6571526639000004E-3</v>
      </c>
      <c r="AI39">
        <f>AH36+AH35</f>
        <v>561.20000000000005</v>
      </c>
    </row>
    <row r="40" spans="1:72" ht="15" thickBo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AG40" s="16" t="s">
        <v>45</v>
      </c>
      <c r="AH40" s="32" t="str">
        <f>480/3.33 &amp;" Min"</f>
        <v>144.144144144144 Min</v>
      </c>
      <c r="BD40" s="1"/>
    </row>
    <row r="41" spans="1:72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72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72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72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BQ44" s="1"/>
      <c r="BR44" s="4"/>
    </row>
    <row r="45" spans="1:72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5"/>
      <c r="W45" s="1"/>
      <c r="X45" s="1"/>
      <c r="BO45" s="1"/>
      <c r="BP45" s="1"/>
      <c r="BQ45" s="1"/>
    </row>
    <row r="46" spans="1:72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5"/>
      <c r="W46" s="1"/>
      <c r="X46" s="1"/>
      <c r="BO46" s="1"/>
      <c r="BP46" s="1"/>
      <c r="BQ46" s="1"/>
    </row>
    <row r="47" spans="1:72" x14ac:dyDescent="0.3">
      <c r="BO47" s="34"/>
      <c r="BP47" s="34"/>
      <c r="BQ47" s="34"/>
      <c r="BR47" s="34"/>
      <c r="BS47" s="34"/>
      <c r="BT47" s="34"/>
    </row>
    <row r="48" spans="1:72" x14ac:dyDescent="0.3">
      <c r="BO48" s="1"/>
      <c r="BP48" s="34"/>
      <c r="BQ48" s="34"/>
    </row>
    <row r="49" spans="67:71" x14ac:dyDescent="0.3">
      <c r="BO49" s="1"/>
      <c r="BP49" s="34"/>
      <c r="BQ49" s="34"/>
    </row>
    <row r="50" spans="67:71" x14ac:dyDescent="0.3">
      <c r="BO50" s="1"/>
      <c r="BP50" s="34"/>
      <c r="BQ50" s="34"/>
      <c r="BR50" s="37"/>
      <c r="BS50" s="37"/>
    </row>
  </sheetData>
  <mergeCells count="12">
    <mergeCell ref="BO47:BT47"/>
    <mergeCell ref="BP48:BQ48"/>
    <mergeCell ref="BP49:BQ49"/>
    <mergeCell ref="BP50:BQ50"/>
    <mergeCell ref="BR50:BS50"/>
    <mergeCell ref="J14:J17"/>
    <mergeCell ref="J33:K33"/>
    <mergeCell ref="O33:P33"/>
    <mergeCell ref="S33:T33"/>
    <mergeCell ref="J34:K34"/>
    <mergeCell ref="O34:P34"/>
    <mergeCell ref="T34:U3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AC199C4A6DCC47B2BD81E49691EC5B" ma:contentTypeVersion="3" ma:contentTypeDescription="Create a new document." ma:contentTypeScope="" ma:versionID="9e7c3006ed13c2fd0326d94565aa5631">
  <xsd:schema xmlns:xsd="http://www.w3.org/2001/XMLSchema" xmlns:xs="http://www.w3.org/2001/XMLSchema" xmlns:p="http://schemas.microsoft.com/office/2006/metadata/properties" xmlns:ns2="212845db-21b4-4109-b84a-c31f52b7f4fb" targetNamespace="http://schemas.microsoft.com/office/2006/metadata/properties" ma:root="true" ma:fieldsID="18712b5ba6bae41855b8bad45b00da59" ns2:_="">
    <xsd:import namespace="212845db-21b4-4109-b84a-c31f52b7f4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2845db-21b4-4109-b84a-c31f52b7f4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2E1F48-791D-4ED2-B018-E63EC3064D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2845db-21b4-4109-b84a-c31f52b7f4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432E18-F0C3-4F2F-A9F9-12BF13BC59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C53618-CAB1-4D71-816E-CFB73FE0E792}">
  <ds:schemaRefs>
    <ds:schemaRef ds:uri="212845db-21b4-4109-b84a-c31f52b7f4fb"/>
    <ds:schemaRef ds:uri="http://purl.org/dc/terms/"/>
    <ds:schemaRef ds:uri="http://purl.org/dc/elements/1.1/"/>
    <ds:schemaRef ds:uri="http://www.w3.org/XML/1998/namespace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VSM</vt:lpstr>
      <vt:lpstr>FSVSM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TCC</dc:creator>
  <cp:keywords/>
  <dc:description/>
  <cp:lastModifiedBy>OMAR ABDALJALEEL</cp:lastModifiedBy>
  <cp:revision/>
  <dcterms:created xsi:type="dcterms:W3CDTF">2021-06-19T07:56:52Z</dcterms:created>
  <dcterms:modified xsi:type="dcterms:W3CDTF">2026-06-12T13:41:18Z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0x01010082AC199C4A6DCC47B2BD81E49691EC5B</vt:lpwstr>
  </property>
</Properties>
</file>