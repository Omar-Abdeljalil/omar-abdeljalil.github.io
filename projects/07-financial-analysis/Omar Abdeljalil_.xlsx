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Desktop\Financial\"/>
    </mc:Choice>
  </mc:AlternateContent>
  <xr:revisionPtr revIDLastSave="0" documentId="13_ncr:1_{B0289CE2-B142-46C4-905B-4EAF73371B07}" xr6:coauthVersionLast="47" xr6:coauthVersionMax="47" xr10:uidLastSave="{00000000-0000-0000-0000-000000000000}"/>
  <bookViews>
    <workbookView xWindow="-108" yWindow="-108" windowWidth="23256" windowHeight="12576" tabRatio="665" xr2:uid="{C949653E-8D81-4DA7-AA69-96B189FC999C}"/>
  </bookViews>
  <sheets>
    <sheet name="JORDAN POULTRY PROCESSING &amp; MAR" sheetId="3" r:id="rId1"/>
    <sheet name="DAR AL DAWA DEVELOPMENT &amp; INV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0" i="3" l="1"/>
  <c r="F258" i="3" s="1"/>
  <c r="C238" i="3"/>
  <c r="C245" i="3" s="1"/>
  <c r="D238" i="3"/>
  <c r="D245" i="3" s="1"/>
  <c r="E238" i="3"/>
  <c r="E245" i="3" s="1"/>
  <c r="F238" i="3"/>
  <c r="F245" i="3" s="1"/>
  <c r="G238" i="3"/>
  <c r="G245" i="3" s="1"/>
  <c r="G235" i="3"/>
  <c r="G236" i="3"/>
  <c r="G237" i="3"/>
  <c r="B114" i="3"/>
  <c r="E258" i="3" l="1"/>
  <c r="B136" i="3"/>
  <c r="C182" i="3"/>
  <c r="D182" i="3"/>
  <c r="E182" i="3"/>
  <c r="B182" i="3"/>
  <c r="C210" i="3"/>
  <c r="D210" i="3"/>
  <c r="E210" i="3"/>
  <c r="B210" i="3"/>
  <c r="G239" i="3"/>
  <c r="G240" i="3" s="1"/>
  <c r="G241" i="3" s="1"/>
  <c r="K78" i="3"/>
  <c r="T78" i="3"/>
  <c r="K79" i="3"/>
  <c r="T79" i="3"/>
  <c r="K80" i="3"/>
  <c r="T80" i="3"/>
  <c r="K81" i="3"/>
  <c r="T81" i="3"/>
  <c r="K82" i="3"/>
  <c r="T82" i="3"/>
  <c r="D68" i="3"/>
  <c r="E68" i="3"/>
  <c r="F68" i="3"/>
  <c r="C68" i="3"/>
  <c r="B68" i="3"/>
  <c r="F182" i="3" l="1"/>
  <c r="C136" i="3"/>
  <c r="D136" i="3"/>
  <c r="F58" i="3"/>
  <c r="E58" i="3"/>
  <c r="D58" i="3"/>
  <c r="C58" i="3"/>
  <c r="B58" i="3"/>
  <c r="B122" i="3" s="1"/>
  <c r="B151" i="3"/>
  <c r="E151" i="3"/>
  <c r="D151" i="3"/>
  <c r="C151" i="3"/>
  <c r="F151" i="3"/>
  <c r="B120" i="3"/>
  <c r="B126" i="3"/>
  <c r="B127" i="3" s="1"/>
  <c r="B123" i="3"/>
  <c r="C119" i="3"/>
  <c r="D119" i="3"/>
  <c r="E119" i="3"/>
  <c r="F119" i="3"/>
  <c r="B119" i="3"/>
  <c r="C120" i="3"/>
  <c r="D120" i="3"/>
  <c r="E120" i="3"/>
  <c r="F120" i="3"/>
  <c r="B118" i="3"/>
  <c r="B153" i="3" l="1"/>
  <c r="B219" i="3" s="1"/>
  <c r="B257" i="3"/>
  <c r="D38" i="3"/>
  <c r="D42" i="3" s="1"/>
  <c r="E38" i="3"/>
  <c r="E42" i="3" s="1"/>
  <c r="F38" i="3"/>
  <c r="F42" i="3" s="1"/>
  <c r="C38" i="3"/>
  <c r="C42" i="3" s="1"/>
  <c r="B38" i="3"/>
  <c r="B42" i="3" s="1"/>
  <c r="B27" i="3"/>
  <c r="C27" i="3"/>
  <c r="D27" i="3"/>
  <c r="E27" i="3"/>
  <c r="F27" i="3"/>
  <c r="C22" i="3"/>
  <c r="D22" i="3"/>
  <c r="E22" i="3"/>
  <c r="F22" i="3"/>
  <c r="B22" i="3"/>
  <c r="B137" i="3"/>
  <c r="B135" i="3"/>
  <c r="B134" i="3"/>
  <c r="C134" i="3" l="1"/>
  <c r="D134" i="3"/>
  <c r="C135" i="3"/>
  <c r="D135" i="3"/>
  <c r="D137" i="3"/>
  <c r="C137" i="3"/>
  <c r="B29" i="3"/>
  <c r="B51" i="3" s="1"/>
  <c r="B128" i="3" s="1"/>
  <c r="B116" i="3"/>
  <c r="B115" i="3"/>
  <c r="B117" i="3"/>
  <c r="F29" i="3"/>
  <c r="D29" i="3"/>
  <c r="C29" i="3"/>
  <c r="F115" i="3"/>
  <c r="E29" i="3"/>
  <c r="B157" i="3"/>
  <c r="C153" i="3"/>
  <c r="C219" i="3" s="1"/>
  <c r="D152" i="3"/>
  <c r="D153" i="3" s="1"/>
  <c r="E153" i="3"/>
  <c r="E219" i="3" s="1"/>
  <c r="G323" i="3"/>
  <c r="F323" i="3"/>
  <c r="F324" i="3" s="1"/>
  <c r="E323" i="3"/>
  <c r="E324" i="3" s="1"/>
  <c r="E325" i="3" s="1"/>
  <c r="D323" i="3"/>
  <c r="D330" i="3" s="1"/>
  <c r="C323" i="3"/>
  <c r="C324" i="3" s="1"/>
  <c r="C325" i="3" s="1"/>
  <c r="F214" i="3"/>
  <c r="F213" i="3"/>
  <c r="F203" i="3"/>
  <c r="F202" i="3"/>
  <c r="E187" i="3"/>
  <c r="D187" i="3"/>
  <c r="D191" i="3" s="1"/>
  <c r="C187" i="3"/>
  <c r="E157" i="3"/>
  <c r="E158" i="3" s="1"/>
  <c r="D157" i="3"/>
  <c r="C157" i="3"/>
  <c r="C189" i="3" l="1"/>
  <c r="D235" i="3" s="1"/>
  <c r="C191" i="3"/>
  <c r="E189" i="3"/>
  <c r="F235" i="3" s="1"/>
  <c r="E191" i="3"/>
  <c r="B121" i="3"/>
  <c r="B113" i="3"/>
  <c r="D219" i="3"/>
  <c r="F153" i="3"/>
  <c r="F197" i="3" s="1"/>
  <c r="F199" i="3" s="1"/>
  <c r="E113" i="3"/>
  <c r="E51" i="3"/>
  <c r="F113" i="3"/>
  <c r="F51" i="3"/>
  <c r="C113" i="3"/>
  <c r="C51" i="3"/>
  <c r="D113" i="3"/>
  <c r="D51" i="3"/>
  <c r="B125" i="3"/>
  <c r="B52" i="3"/>
  <c r="B133" i="3" s="1"/>
  <c r="B142" i="3" s="1"/>
  <c r="D165" i="3"/>
  <c r="D158" i="3"/>
  <c r="D159" i="3" s="1"/>
  <c r="C165" i="3"/>
  <c r="C166" i="3" s="1"/>
  <c r="C188" i="3" s="1"/>
  <c r="D236" i="3" s="1"/>
  <c r="C158" i="3"/>
  <c r="B165" i="3"/>
  <c r="B166" i="3" s="1"/>
  <c r="B158" i="3"/>
  <c r="B159" i="3" s="1"/>
  <c r="B161" i="3" s="1"/>
  <c r="B124" i="3"/>
  <c r="B215" i="3"/>
  <c r="E215" i="3"/>
  <c r="E224" i="3" s="1"/>
  <c r="D215" i="3"/>
  <c r="D224" i="3" s="1"/>
  <c r="B197" i="3"/>
  <c r="B187" i="3"/>
  <c r="B191" i="3" s="1"/>
  <c r="F211" i="3"/>
  <c r="F210" i="3"/>
  <c r="C215" i="3"/>
  <c r="C224" i="3" s="1"/>
  <c r="C330" i="3"/>
  <c r="E330" i="3"/>
  <c r="C197" i="3"/>
  <c r="C199" i="3" s="1"/>
  <c r="D197" i="3"/>
  <c r="D199" i="3" s="1"/>
  <c r="E197" i="3"/>
  <c r="E199" i="3" s="1"/>
  <c r="F325" i="3"/>
  <c r="F326" i="3" s="1"/>
  <c r="F329" i="3" s="1"/>
  <c r="E326" i="3"/>
  <c r="E329" i="3" s="1"/>
  <c r="E159" i="3"/>
  <c r="G324" i="3"/>
  <c r="G330" i="3"/>
  <c r="F330" i="3"/>
  <c r="E165" i="3"/>
  <c r="D324" i="3"/>
  <c r="D189" i="3"/>
  <c r="E235" i="3" s="1"/>
  <c r="C326" i="3"/>
  <c r="C329" i="3" s="1"/>
  <c r="G249" i="3" l="1"/>
  <c r="B216" i="3"/>
  <c r="D133" i="3"/>
  <c r="G133" i="3"/>
  <c r="G134" i="3" s="1"/>
  <c r="B141" i="3"/>
  <c r="B140" i="3"/>
  <c r="C133" i="3"/>
  <c r="G244" i="3"/>
  <c r="C167" i="3"/>
  <c r="F128" i="3"/>
  <c r="F52" i="3"/>
  <c r="D128" i="3"/>
  <c r="D52" i="3"/>
  <c r="B224" i="3"/>
  <c r="F212" i="3"/>
  <c r="E128" i="3"/>
  <c r="E52" i="3"/>
  <c r="C128" i="3"/>
  <c r="C52" i="3"/>
  <c r="B189" i="3"/>
  <c r="C235" i="3" s="1"/>
  <c r="B199" i="3"/>
  <c r="B204" i="3" s="1"/>
  <c r="D166" i="3"/>
  <c r="D188" i="3" s="1"/>
  <c r="E236" i="3" s="1"/>
  <c r="E166" i="3"/>
  <c r="G135" i="3"/>
  <c r="C160" i="3"/>
  <c r="F157" i="3" s="1"/>
  <c r="F158" i="3" s="1"/>
  <c r="B188" i="3"/>
  <c r="C236" i="3" s="1"/>
  <c r="E336" i="3"/>
  <c r="C336" i="3"/>
  <c r="F187" i="3"/>
  <c r="F191" i="3" s="1"/>
  <c r="G334" i="3"/>
  <c r="F215" i="3"/>
  <c r="E204" i="3"/>
  <c r="E223" i="3" s="1"/>
  <c r="D204" i="3"/>
  <c r="D223" i="3" s="1"/>
  <c r="F336" i="3"/>
  <c r="C204" i="3"/>
  <c r="C223" i="3" s="1"/>
  <c r="C168" i="3"/>
  <c r="D160" i="3"/>
  <c r="D325" i="3"/>
  <c r="D326" i="3" s="1"/>
  <c r="D329" i="3" s="1"/>
  <c r="D336" i="3" s="1"/>
  <c r="E160" i="3"/>
  <c r="C159" i="3"/>
  <c r="G325" i="3"/>
  <c r="G326" i="3" s="1"/>
  <c r="G329" i="3" s="1"/>
  <c r="G250" i="3" l="1"/>
  <c r="E263" i="3" s="1"/>
  <c r="F263" i="3" s="1"/>
  <c r="F201" i="3"/>
  <c r="F204" i="3" s="1"/>
  <c r="B205" i="3"/>
  <c r="D169" i="3"/>
  <c r="F219" i="3"/>
  <c r="F165" i="3"/>
  <c r="D168" i="3"/>
  <c r="B223" i="3"/>
  <c r="F223" i="3" s="1"/>
  <c r="B169" i="3"/>
  <c r="E169" i="3"/>
  <c r="B167" i="3"/>
  <c r="E188" i="3"/>
  <c r="F236" i="3" s="1"/>
  <c r="E168" i="3"/>
  <c r="B168" i="3"/>
  <c r="E167" i="3"/>
  <c r="D167" i="3"/>
  <c r="C161" i="3"/>
  <c r="B170" i="3"/>
  <c r="E161" i="3"/>
  <c r="E180" i="3" s="1"/>
  <c r="D161" i="3"/>
  <c r="F159" i="3"/>
  <c r="F160" i="3"/>
  <c r="C169" i="3"/>
  <c r="B260" i="3" l="1"/>
  <c r="B259" i="3"/>
  <c r="E192" i="3"/>
  <c r="E193" i="3" s="1"/>
  <c r="E220" i="3" s="1"/>
  <c r="E221" i="3" s="1"/>
  <c r="E225" i="3" s="1"/>
  <c r="E227" i="3" s="1"/>
  <c r="E181" i="3"/>
  <c r="E183" i="3" s="1"/>
  <c r="F169" i="3"/>
  <c r="F188" i="3"/>
  <c r="F168" i="3"/>
  <c r="E174" i="3"/>
  <c r="E176" i="3" s="1"/>
  <c r="E170" i="3"/>
  <c r="F161" i="3"/>
  <c r="B174" i="3"/>
  <c r="B176" i="3" s="1"/>
  <c r="B180" i="3"/>
  <c r="B181" i="3" s="1"/>
  <c r="C174" i="3"/>
  <c r="C176" i="3" s="1"/>
  <c r="C170" i="3"/>
  <c r="F167" i="3" s="1"/>
  <c r="C180" i="3"/>
  <c r="D170" i="3"/>
  <c r="D180" i="3"/>
  <c r="D174" i="3"/>
  <c r="D176" i="3" s="1"/>
  <c r="F237" i="3" l="1"/>
  <c r="F239" i="3" s="1"/>
  <c r="F240" i="3" s="1"/>
  <c r="F241" i="3" s="1"/>
  <c r="F244" i="3" s="1"/>
  <c r="F250" i="3" s="1"/>
  <c r="E262" i="3" s="1"/>
  <c r="F262" i="3" s="1"/>
  <c r="C192" i="3"/>
  <c r="C193" i="3" s="1"/>
  <c r="C220" i="3" s="1"/>
  <c r="C221" i="3" s="1"/>
  <c r="C225" i="3" s="1"/>
  <c r="C227" i="3" s="1"/>
  <c r="C181" i="3"/>
  <c r="C183" i="3" s="1"/>
  <c r="D192" i="3"/>
  <c r="D193" i="3" s="1"/>
  <c r="D220" i="3" s="1"/>
  <c r="D221" i="3" s="1"/>
  <c r="D225" i="3" s="1"/>
  <c r="D227" i="3" s="1"/>
  <c r="D181" i="3"/>
  <c r="D183" i="3" s="1"/>
  <c r="B192" i="3"/>
  <c r="F170" i="3"/>
  <c r="E228" i="3"/>
  <c r="E229" i="3" s="1"/>
  <c r="F176" i="3"/>
  <c r="F180" i="3"/>
  <c r="F181" i="3" s="1"/>
  <c r="F174" i="3"/>
  <c r="E237" i="3" l="1"/>
  <c r="E239" i="3" s="1"/>
  <c r="E240" i="3" s="1"/>
  <c r="E241" i="3" s="1"/>
  <c r="E244" i="3" s="1"/>
  <c r="E250" i="3" s="1"/>
  <c r="E261" i="3" s="1"/>
  <c r="F261" i="3" s="1"/>
  <c r="D237" i="3"/>
  <c r="D239" i="3" s="1"/>
  <c r="D240" i="3" s="1"/>
  <c r="D241" i="3" s="1"/>
  <c r="D244" i="3" s="1"/>
  <c r="D250" i="3" s="1"/>
  <c r="E260" i="3" s="1"/>
  <c r="F260" i="3" s="1"/>
  <c r="F189" i="3"/>
  <c r="B193" i="3"/>
  <c r="B220" i="3" s="1"/>
  <c r="D228" i="3"/>
  <c r="D229" i="3" s="1"/>
  <c r="C228" i="3"/>
  <c r="C229" i="3" s="1"/>
  <c r="F183" i="3"/>
  <c r="F192" i="3"/>
  <c r="B183" i="3"/>
  <c r="C237" i="3" l="1"/>
  <c r="C239" i="3" s="1"/>
  <c r="C240" i="3" s="1"/>
  <c r="C241" i="3" s="1"/>
  <c r="C244" i="3" s="1"/>
  <c r="C250" i="3" s="1"/>
  <c r="B258" i="3"/>
  <c r="B256" i="3" s="1"/>
  <c r="F220" i="3"/>
  <c r="B184" i="3"/>
  <c r="F193" i="3"/>
  <c r="E259" i="3" l="1"/>
  <c r="F259" i="3" s="1"/>
  <c r="F264" i="3" s="1"/>
  <c r="E256" i="3"/>
  <c r="G335" i="3"/>
  <c r="G336" i="3" s="1"/>
  <c r="B335" i="3"/>
  <c r="B336" i="3" s="1"/>
  <c r="B221" i="3"/>
  <c r="B225" i="3" s="1"/>
  <c r="B227" i="3" s="1"/>
  <c r="B228" i="3" s="1"/>
  <c r="B229" i="3" s="1"/>
  <c r="F224" i="3"/>
  <c r="B146" i="3"/>
  <c r="B147" i="3" s="1"/>
  <c r="F221" i="3" l="1"/>
  <c r="F225" i="3"/>
  <c r="C126" i="3"/>
  <c r="C127" i="3" s="1"/>
  <c r="D126" i="3"/>
  <c r="D127" i="3" s="1"/>
  <c r="E126" i="3"/>
  <c r="E127" i="3" s="1"/>
  <c r="F126" i="3"/>
  <c r="F127" i="3" s="1"/>
  <c r="C125" i="3"/>
  <c r="D125" i="3"/>
  <c r="E125" i="3"/>
  <c r="F125" i="3"/>
  <c r="C124" i="3"/>
  <c r="D124" i="3"/>
  <c r="E124" i="3"/>
  <c r="F124" i="3"/>
  <c r="C123" i="3"/>
  <c r="D123" i="3"/>
  <c r="E123" i="3"/>
  <c r="F123" i="3"/>
  <c r="C122" i="3"/>
  <c r="D122" i="3"/>
  <c r="E122" i="3"/>
  <c r="F122" i="3"/>
  <c r="C121" i="3"/>
  <c r="D121" i="3"/>
  <c r="E121" i="3"/>
  <c r="F121" i="3"/>
  <c r="C118" i="3"/>
  <c r="D118" i="3"/>
  <c r="E118" i="3"/>
  <c r="F118" i="3"/>
  <c r="C117" i="3"/>
  <c r="D117" i="3"/>
  <c r="E117" i="3"/>
  <c r="F117" i="3"/>
  <c r="C116" i="3"/>
  <c r="D116" i="3"/>
  <c r="E116" i="3"/>
  <c r="F116" i="3"/>
  <c r="C115" i="3"/>
  <c r="D115" i="3"/>
  <c r="E115" i="3"/>
  <c r="C114" i="3"/>
  <c r="D114" i="3"/>
  <c r="E114" i="3"/>
  <c r="F114" i="3"/>
  <c r="F227" i="3" l="1"/>
  <c r="F228" i="3"/>
  <c r="G136" i="3"/>
  <c r="G137" i="3" s="1"/>
  <c r="F229" i="3" l="1"/>
</calcChain>
</file>

<file path=xl/sharedStrings.xml><?xml version="1.0" encoding="utf-8"?>
<sst xmlns="http://schemas.openxmlformats.org/spreadsheetml/2006/main" count="674" uniqueCount="365">
  <si>
    <t>Trading Information</t>
  </si>
  <si>
    <t>Value Traded (JD)</t>
  </si>
  <si>
    <t>No. of Shares Traded</t>
  </si>
  <si>
    <t>No. of Transactions</t>
  </si>
  <si>
    <t>Market Capitalization (JD)</t>
  </si>
  <si>
    <t>Assets(JD)</t>
  </si>
  <si>
    <t>Cash on Hand &amp; at Banks</t>
  </si>
  <si>
    <t>Account Receivables, Net</t>
  </si>
  <si>
    <t>Notes_Receivable</t>
  </si>
  <si>
    <t>Post Dated Cheques</t>
  </si>
  <si>
    <t xml:space="preserve">Short Term Investments </t>
  </si>
  <si>
    <t>Inventory</t>
  </si>
  <si>
    <t>Spare Parts</t>
  </si>
  <si>
    <t>Total Current Assets</t>
  </si>
  <si>
    <t xml:space="preserve">Long Term Investments </t>
  </si>
  <si>
    <t>Fixed Assets,Net</t>
  </si>
  <si>
    <t>Lands</t>
  </si>
  <si>
    <t>Projects in Progress</t>
  </si>
  <si>
    <t>Total Fixed Assets</t>
  </si>
  <si>
    <t xml:space="preserve">Other Assets </t>
  </si>
  <si>
    <t>Total Assets</t>
  </si>
  <si>
    <t>Liabilities &amp; Owners Equity</t>
  </si>
  <si>
    <t>Liabilities(JD)</t>
  </si>
  <si>
    <t xml:space="preserve">Accounts and Notes Payable </t>
  </si>
  <si>
    <t>Credit Banks</t>
  </si>
  <si>
    <t>Short Term Loans</t>
  </si>
  <si>
    <t>Accrued Part of Long Term Loans</t>
  </si>
  <si>
    <t xml:space="preserve">Total Current Liabilities </t>
  </si>
  <si>
    <t xml:space="preserve">Long Term Loans &amp; Notes Payable </t>
  </si>
  <si>
    <t>Corporate Bonds</t>
  </si>
  <si>
    <t xml:space="preserve">Other Liabilities </t>
  </si>
  <si>
    <t xml:space="preserve">Total Liabilities </t>
  </si>
  <si>
    <t>Shareholders Equity (JD)</t>
  </si>
  <si>
    <t>Authorized Capital</t>
  </si>
  <si>
    <t>Subscribed Capital</t>
  </si>
  <si>
    <t>Paid-in Capital</t>
  </si>
  <si>
    <t>Compulsory Reserves</t>
  </si>
  <si>
    <t>Voluntary Reserve</t>
  </si>
  <si>
    <t>Other Reserves</t>
  </si>
  <si>
    <t>Issuance Premium</t>
  </si>
  <si>
    <t>Issuance Discount</t>
  </si>
  <si>
    <t>Treasury Stocks</t>
  </si>
  <si>
    <t>Cash Dividends</t>
  </si>
  <si>
    <t>Stock Dividends</t>
  </si>
  <si>
    <t>Accumulated Change in Fair Value</t>
  </si>
  <si>
    <t>Retained Earnings</t>
  </si>
  <si>
    <t>Total Shareholders Equity</t>
  </si>
  <si>
    <t>Non-controlling Interest</t>
  </si>
  <si>
    <t xml:space="preserve">Total Liabilities &amp; Shareholders Equity </t>
  </si>
  <si>
    <t xml:space="preserve"> Income Statement (JD)</t>
  </si>
  <si>
    <t xml:space="preserve">Operating Revenues </t>
  </si>
  <si>
    <t>Operating Expenses</t>
  </si>
  <si>
    <t>Gross Profit</t>
  </si>
  <si>
    <t xml:space="preserve">General and Administrative Expenses </t>
  </si>
  <si>
    <t xml:space="preserve">Selling and Distribution Expenses </t>
  </si>
  <si>
    <t>Depreciation (period)</t>
  </si>
  <si>
    <t xml:space="preserve">Other Operating Expenses </t>
  </si>
  <si>
    <t>Net Operating Income</t>
  </si>
  <si>
    <t xml:space="preserve">Other Revenues </t>
  </si>
  <si>
    <t xml:space="preserve">Other Expenses </t>
  </si>
  <si>
    <t>Income Before Interest &amp; Tax</t>
  </si>
  <si>
    <t xml:space="preserve">Interest Expenses </t>
  </si>
  <si>
    <t>Net Income before Tax</t>
  </si>
  <si>
    <t>Income Tax (Period)</t>
  </si>
  <si>
    <t>Universities and Research Train Fees</t>
  </si>
  <si>
    <t>Board of Directors Remuniration</t>
  </si>
  <si>
    <t>Net Income</t>
  </si>
  <si>
    <t>Net Income Pertains to Shareholders</t>
  </si>
  <si>
    <t>Cash Flow (JD)</t>
  </si>
  <si>
    <t>Cash Balance (Beginning)</t>
  </si>
  <si>
    <t>Net Cash Flow from (Used In) Operating Activities</t>
  </si>
  <si>
    <t>Net Cash Flow from (Used In) Investing Activities</t>
  </si>
  <si>
    <t>Net Cash Flow from (Used In) Financing Activities</t>
  </si>
  <si>
    <t>Cash Balance (Ending)</t>
  </si>
  <si>
    <t>Financial Ratios</t>
  </si>
  <si>
    <t>Turnover Ratio %</t>
  </si>
  <si>
    <t>Earning Per Share (JD)</t>
  </si>
  <si>
    <t>Dividend Per Share (JD)</t>
  </si>
  <si>
    <t>Book Value Per Share (JD)</t>
  </si>
  <si>
    <t>Price Earnings Ratio (Times)</t>
  </si>
  <si>
    <t>Dividend Yield %</t>
  </si>
  <si>
    <t>Dividends Per Share to Earning Per Share %</t>
  </si>
  <si>
    <t>Price to Book Value (Times)</t>
  </si>
  <si>
    <t>Gross Margin %</t>
  </si>
  <si>
    <t>Margin Before Interest and Tax %</t>
  </si>
  <si>
    <t xml:space="preserve">Profit Margin % </t>
  </si>
  <si>
    <t>Return on Assets %</t>
  </si>
  <si>
    <t>Return on Equity %</t>
  </si>
  <si>
    <t>Debit Ratio %</t>
  </si>
  <si>
    <t>Equity Ratio %</t>
  </si>
  <si>
    <t xml:space="preserve">Interest Coverage Ratio (Times) </t>
  </si>
  <si>
    <t>Total Assets Turnover (Times )</t>
  </si>
  <si>
    <t>Fixed Assets Turnover (Times)</t>
  </si>
  <si>
    <t>Working Capital Turnover (Times)</t>
  </si>
  <si>
    <t>Current Ratio (Times)</t>
  </si>
  <si>
    <t>Working Capital (JD)</t>
  </si>
  <si>
    <t>معلومات التداول</t>
  </si>
  <si>
    <t>(حجم التداول (دينار</t>
  </si>
  <si>
    <t>عدد الأسهم المتداولة</t>
  </si>
  <si>
    <t>عدد العقود المنفذة</t>
  </si>
  <si>
    <t>(القيمة السوقية (دينار</t>
  </si>
  <si>
    <t>( الموجودات (دينار</t>
  </si>
  <si>
    <t>نقد في الصندوق ولدى البنوك</t>
  </si>
  <si>
    <t>ذمم مدينة بالصافي</t>
  </si>
  <si>
    <t>أوراق قبض</t>
  </si>
  <si>
    <t>شيكات برسم التحصيل</t>
  </si>
  <si>
    <t xml:space="preserve">إستثمارات قصيرة الأجل  </t>
  </si>
  <si>
    <t>بضاعة في المخازن</t>
  </si>
  <si>
    <t>لوازم وقطع غيار</t>
  </si>
  <si>
    <t>مجموع الموجودات المتداولة</t>
  </si>
  <si>
    <t>استثمارات طويلة الأجل</t>
  </si>
  <si>
    <t xml:space="preserve">موجودات ثابتة - صافي بعد الإستهلاك </t>
  </si>
  <si>
    <t>أراضي</t>
  </si>
  <si>
    <t>مشاريع تحت التنفيذ</t>
  </si>
  <si>
    <t xml:space="preserve">مجموع الموجودات الثابتة </t>
  </si>
  <si>
    <t xml:space="preserve">موجودات أخرى </t>
  </si>
  <si>
    <t xml:space="preserve">مجموع الموجودات </t>
  </si>
  <si>
    <t>المطلوبات وحقوق المساهمين</t>
  </si>
  <si>
    <t>( المطلوبات (دينار</t>
  </si>
  <si>
    <t xml:space="preserve">ذمم دائنة وأوراق دفع </t>
  </si>
  <si>
    <t xml:space="preserve">بنوك دائنة </t>
  </si>
  <si>
    <t>قروض قصيرة الأجل</t>
  </si>
  <si>
    <t xml:space="preserve">الجزء المستحق من القرض طويل الأجل </t>
  </si>
  <si>
    <t xml:space="preserve">مجموع المطلوبات المتداولة </t>
  </si>
  <si>
    <t xml:space="preserve">قروض وأوراق دفع طويلة الأجل </t>
  </si>
  <si>
    <t>اسناد قرض</t>
  </si>
  <si>
    <t xml:space="preserve">مطلوبات أخرى </t>
  </si>
  <si>
    <t>مجموع المطلوبات</t>
  </si>
  <si>
    <t>(حقوق المساهمين (دينار</t>
  </si>
  <si>
    <t>رأس المال المصرح به</t>
  </si>
  <si>
    <t>رأس المال المكتتب به</t>
  </si>
  <si>
    <t>رأس المال المدفوع</t>
  </si>
  <si>
    <t xml:space="preserve">احتياطي إجباري </t>
  </si>
  <si>
    <t xml:space="preserve">احتياطي اختياري </t>
  </si>
  <si>
    <t>الاحتياطات الأخرى</t>
  </si>
  <si>
    <t>علاوة اصدار</t>
  </si>
  <si>
    <t>خصم اصدار</t>
  </si>
  <si>
    <t>أسهم خزينة</t>
  </si>
  <si>
    <t>أرباح موزعة</t>
  </si>
  <si>
    <t>أسهم موزعة</t>
  </si>
  <si>
    <t xml:space="preserve">التغير المتراكم في القيمة العادلة </t>
  </si>
  <si>
    <t>مجموع حقوق المساهمين</t>
  </si>
  <si>
    <t>حقوق غير المسيطرين</t>
  </si>
  <si>
    <t>مجموع المطلوبات وحقوق المساهمين</t>
  </si>
  <si>
    <t>(بيان الدخل (دينار</t>
  </si>
  <si>
    <t xml:space="preserve">الإيرادات التشغيلية </t>
  </si>
  <si>
    <t xml:space="preserve">المصاريف التشغيلية </t>
  </si>
  <si>
    <t xml:space="preserve">إجمالي الربح من العمليات </t>
  </si>
  <si>
    <t xml:space="preserve">المصاريف الإدارية والعمومية </t>
  </si>
  <si>
    <t>مصاريف البيع والتسويق</t>
  </si>
  <si>
    <t xml:space="preserve">الاستهلاكات للفترة </t>
  </si>
  <si>
    <t xml:space="preserve">مصاريف تشغيلية أخرى </t>
  </si>
  <si>
    <t xml:space="preserve">صافي الربح التشغيلي </t>
  </si>
  <si>
    <t xml:space="preserve">ايرادات أخرى </t>
  </si>
  <si>
    <t xml:space="preserve">مصاريف أخرى </t>
  </si>
  <si>
    <t xml:space="preserve">صافي الربح قبل الفوائد والضريبة </t>
  </si>
  <si>
    <t xml:space="preserve">مصاريف فوائد بنكية </t>
  </si>
  <si>
    <t>صافي الربح قبل الضريبة والرسوم</t>
  </si>
  <si>
    <t>ضريبة دخل السنة</t>
  </si>
  <si>
    <t>ضريبة دخل سنوات سابقة</t>
  </si>
  <si>
    <t>رسوم الجامعات والبحث العلمي وصندوق التعليم</t>
  </si>
  <si>
    <t>مكافأة أعضاء مجلس الإدارة</t>
  </si>
  <si>
    <t>صافي الربح</t>
  </si>
  <si>
    <t>صافي الربح العائد لمساهمي الشركة</t>
  </si>
  <si>
    <t>( التدفقات النقدية (دينار</t>
  </si>
  <si>
    <t>النقد وما في حكمه في بداية السنة</t>
  </si>
  <si>
    <t>صافي التدفق النقدي من (المستخدم في) عمليات التشغيل</t>
  </si>
  <si>
    <t>صافي التدفق النقدي من (المستخدم في) عمليات الاستثمار</t>
  </si>
  <si>
    <t>صافي التدفق النقدي من (المستخدم في) عمليات التمويل</t>
  </si>
  <si>
    <t>النقد وما في حكمه في نهاية السنة</t>
  </si>
  <si>
    <t xml:space="preserve">النسب المالية </t>
  </si>
  <si>
    <t>% معدل دوران السهم</t>
  </si>
  <si>
    <t>(عائد السهم الواحد (دينار</t>
  </si>
  <si>
    <t xml:space="preserve">الأرباح الموزعة للسهم الواحد (دينار) </t>
  </si>
  <si>
    <t xml:space="preserve">القيمة الدفترية للسهم الواحد (دينار) </t>
  </si>
  <si>
    <t>(القيمة السوقية الى العائد (مرة</t>
  </si>
  <si>
    <t>% الأرباح الموزعة الى القيمة السوقية</t>
  </si>
  <si>
    <t>% الأرباح الموزعة للسهم الى عائد السهم</t>
  </si>
  <si>
    <t>القيمة السوقية الى القيمة الدفترية (مرة)</t>
  </si>
  <si>
    <t>اجمالي الربح من العمليات الى المبيعات %</t>
  </si>
  <si>
    <t>صافي الربح قبل الفوائد والضريبة الى المبيعات %</t>
  </si>
  <si>
    <t>صافي الربح الى المبيعات  %</t>
  </si>
  <si>
    <t>العائد على مجموع الموجودات %</t>
  </si>
  <si>
    <t xml:space="preserve">العائد على حقوق المساهمين % </t>
  </si>
  <si>
    <t>معدل المديونية %</t>
  </si>
  <si>
    <t xml:space="preserve">نسبة الملكية % </t>
  </si>
  <si>
    <t xml:space="preserve">معدل تغطية الفوائد ( مرة ) </t>
  </si>
  <si>
    <t xml:space="preserve">معدل دوران الموجودات ( مرة) </t>
  </si>
  <si>
    <t xml:space="preserve">معدل دوران الموجودات الثابتة ( مرة ) </t>
  </si>
  <si>
    <t xml:space="preserve">معدل دوران رأس المال العامل ( مرة) </t>
  </si>
  <si>
    <t xml:space="preserve">نسبة التداول ( مرة ) </t>
  </si>
  <si>
    <t xml:space="preserve">رأس المال العامل ( دينار) </t>
  </si>
  <si>
    <t>JORDAN POULTRY PROCESSING &amp; MARKETING</t>
  </si>
  <si>
    <t>الأردنية لتجهيز وتسويق الدواجن ومنتجاتها</t>
  </si>
  <si>
    <t>Trading Information in the Regular Market</t>
  </si>
  <si>
    <t>معلومات التداول في السوق النظامي</t>
  </si>
  <si>
    <t>Par Value / Share (JD)</t>
  </si>
  <si>
    <t>(القيمة الاسمية للسهم (دينار</t>
  </si>
  <si>
    <t>Closing Price (JD)</t>
  </si>
  <si>
    <t>(سعر الاغلاق (دينار</t>
  </si>
  <si>
    <t>No. of Subscribed Shares</t>
  </si>
  <si>
    <t xml:space="preserve">عدد الأسهم المكتتب بها </t>
  </si>
  <si>
    <t>Fiscal Year Ended</t>
  </si>
  <si>
    <t>تاريخ انتهاء السنة المالية</t>
  </si>
  <si>
    <t xml:space="preserve">أرباح (خسائر) مدورة </t>
  </si>
  <si>
    <t>Income Tax (Previous Years)</t>
  </si>
  <si>
    <t>DAR AL DAWA DEVELOPMENT &amp; INVESTMENT</t>
  </si>
  <si>
    <t>دار الدواء للتنمية والاستثمار</t>
  </si>
  <si>
    <t>Ratios %</t>
  </si>
  <si>
    <t xml:space="preserve">Quick Ratio </t>
  </si>
  <si>
    <t xml:space="preserve">Inventory Turnover </t>
  </si>
  <si>
    <t xml:space="preserve">Time Interest Earned </t>
  </si>
  <si>
    <t>Current Ratio</t>
  </si>
  <si>
    <t xml:space="preserve">Liquidity Ratio </t>
  </si>
  <si>
    <t>DSI</t>
  </si>
  <si>
    <t xml:space="preserve">Total Asset Turnover </t>
  </si>
  <si>
    <t xml:space="preserve">Gross Margin Ratio </t>
  </si>
  <si>
    <t xml:space="preserve">Net Margin </t>
  </si>
  <si>
    <t xml:space="preserve">ROE </t>
  </si>
  <si>
    <t>ROA</t>
  </si>
  <si>
    <t>EPS</t>
  </si>
  <si>
    <t>P/E</t>
  </si>
  <si>
    <t xml:space="preserve">Book Value </t>
  </si>
  <si>
    <t>RATIOS</t>
  </si>
  <si>
    <t>Formulas</t>
  </si>
  <si>
    <t>Debt Ratio</t>
  </si>
  <si>
    <t>Total  Liabilities/Total Assets</t>
  </si>
  <si>
    <t>Times Interest Earned</t>
  </si>
  <si>
    <t>EBIT/INTREST EXPENSE</t>
  </si>
  <si>
    <t>Current assets/current liabilities</t>
  </si>
  <si>
    <t>Quick Ratio</t>
  </si>
  <si>
    <t>(Current assets - Inventories) / current liabilities</t>
  </si>
  <si>
    <t>Liquidity Ratio</t>
  </si>
  <si>
    <t>(cash + cash equivalents) / current liabilities</t>
  </si>
  <si>
    <t>Inventory Turnover Ratio</t>
  </si>
  <si>
    <t>sales / avarege Inventory</t>
  </si>
  <si>
    <t>Days Sales Outstanding (DSO)</t>
  </si>
  <si>
    <t>Accounts Receiveable / Avarege sales per day(/365)</t>
  </si>
  <si>
    <t>Days Sales in Inventory</t>
  </si>
  <si>
    <t>Average Inventory / Avarege cost per day</t>
  </si>
  <si>
    <t>Total Asset Turnover Ratio</t>
  </si>
  <si>
    <t>Net sales / Total assets</t>
  </si>
  <si>
    <t>Gross Margin Ratio</t>
  </si>
  <si>
    <t>Gross profit / Net sales</t>
  </si>
  <si>
    <t>Net Margin Ratio</t>
  </si>
  <si>
    <t>( Net income - Preferred stock Dividends) / Net Sales</t>
  </si>
  <si>
    <t>Return on Total Assets (ROA)</t>
  </si>
  <si>
    <t>Net Income + interest expense(1 - tax rate) / Average total asets</t>
  </si>
  <si>
    <t>Return on Equity (ROE)</t>
  </si>
  <si>
    <t>Net income / Stockholders’ equity</t>
  </si>
  <si>
    <t xml:space="preserve">Year </t>
  </si>
  <si>
    <t xml:space="preserve">Value </t>
  </si>
  <si>
    <t>i</t>
  </si>
  <si>
    <t>PV at 2017</t>
  </si>
  <si>
    <t>FV at 2021</t>
  </si>
  <si>
    <t>AE</t>
  </si>
  <si>
    <t xml:space="preserve">Cumilative Cash flows </t>
  </si>
  <si>
    <t>K</t>
  </si>
  <si>
    <t>C</t>
  </si>
  <si>
    <t>M</t>
  </si>
  <si>
    <t xml:space="preserve">I Effective </t>
  </si>
  <si>
    <t xml:space="preserve">No payback period </t>
  </si>
  <si>
    <t xml:space="preserve">cost of materials in beginning inventory </t>
  </si>
  <si>
    <t xml:space="preserve">Fixed </t>
  </si>
  <si>
    <t>Total Selling expenses</t>
  </si>
  <si>
    <t>commission</t>
  </si>
  <si>
    <t>1Q</t>
  </si>
  <si>
    <t xml:space="preserve">Material </t>
  </si>
  <si>
    <t>Depreciation</t>
  </si>
  <si>
    <t>Operating activities:</t>
  </si>
  <si>
    <t>Sales Budget Schedule</t>
  </si>
  <si>
    <t>2Q</t>
  </si>
  <si>
    <t>3Q</t>
  </si>
  <si>
    <t>4Q</t>
  </si>
  <si>
    <t>Annual Total</t>
  </si>
  <si>
    <t>Budgeted units</t>
  </si>
  <si>
    <t>Sales price</t>
  </si>
  <si>
    <t>Estimated Sales</t>
  </si>
  <si>
    <t>Production Budget Schedule</t>
  </si>
  <si>
    <t>Budgeted units to be sold</t>
  </si>
  <si>
    <t>Desired ending inventory</t>
  </si>
  <si>
    <t>Total units needed</t>
  </si>
  <si>
    <t>Less beginning inventory</t>
  </si>
  <si>
    <t>Units to produce</t>
  </si>
  <si>
    <t>Direct Material Budget</t>
  </si>
  <si>
    <t>Units to be sold</t>
  </si>
  <si>
    <t>Unit cost of materials</t>
  </si>
  <si>
    <t>Cost of materials for units to be sold</t>
  </si>
  <si>
    <t>Cost of materials in desired ending inventory</t>
  </si>
  <si>
    <t xml:space="preserve">Cost of materials to purshase </t>
  </si>
  <si>
    <t>Direct Labor Budget</t>
  </si>
  <si>
    <t>Direct labor cost per unit</t>
  </si>
  <si>
    <t>Total direct labor cost</t>
  </si>
  <si>
    <t>Overhead Budget</t>
  </si>
  <si>
    <t>Fixed manufacturing overhead</t>
  </si>
  <si>
    <t>Total overhead</t>
  </si>
  <si>
    <t>Cost of Goods Solds Budget</t>
  </si>
  <si>
    <t>Budgeted sales units</t>
  </si>
  <si>
    <t>Direct labor</t>
  </si>
  <si>
    <t>Manufacturing overhead:</t>
  </si>
  <si>
    <t>Cost of Goods Solds</t>
  </si>
  <si>
    <t>Selling Expenses Budget</t>
  </si>
  <si>
    <t>Variable Expenses:</t>
  </si>
  <si>
    <t>Fixed Expenses:</t>
  </si>
  <si>
    <t xml:space="preserve">Rent </t>
  </si>
  <si>
    <t>Advertising</t>
  </si>
  <si>
    <t>Office Expenses</t>
  </si>
  <si>
    <t>Administrative Expenses Budget</t>
  </si>
  <si>
    <t>Variable expenses:</t>
  </si>
  <si>
    <t>Fixed expenses:</t>
  </si>
  <si>
    <t>Salaries</t>
  </si>
  <si>
    <t>Insurance</t>
  </si>
  <si>
    <t>Office supplies</t>
  </si>
  <si>
    <t>Utilities (phone, power, water, etc.)</t>
  </si>
  <si>
    <t>Other office expenses</t>
  </si>
  <si>
    <t>Total administrative expenses</t>
  </si>
  <si>
    <t>Budgeted Income Statement</t>
  </si>
  <si>
    <t>Sales</t>
  </si>
  <si>
    <t>Cost of good solds</t>
  </si>
  <si>
    <t>Gross income</t>
  </si>
  <si>
    <t>Operating expenses:</t>
  </si>
  <si>
    <t>Selling expenses</t>
  </si>
  <si>
    <t>Administrative expenses</t>
  </si>
  <si>
    <t>Operating income</t>
  </si>
  <si>
    <t>interest expenses</t>
  </si>
  <si>
    <t>Net income before taxes</t>
  </si>
  <si>
    <t>Net income</t>
  </si>
  <si>
    <t xml:space="preserve">Income Statement </t>
  </si>
  <si>
    <t>Year</t>
  </si>
  <si>
    <t>Revenues</t>
  </si>
  <si>
    <t>Expenses:</t>
  </si>
  <si>
    <t>Labor</t>
  </si>
  <si>
    <t>Overhead</t>
  </si>
  <si>
    <t>Taxable income</t>
  </si>
  <si>
    <t>Income tax</t>
  </si>
  <si>
    <t>Cash Flow Statement</t>
  </si>
  <si>
    <t>Investment activities:</t>
  </si>
  <si>
    <t>Investment</t>
  </si>
  <si>
    <t>Salvage</t>
  </si>
  <si>
    <t>Gain tax</t>
  </si>
  <si>
    <t>Net Cash flow</t>
  </si>
  <si>
    <t>Account recievable</t>
  </si>
  <si>
    <t>Finished good inventory</t>
  </si>
  <si>
    <t>Raw material inventory</t>
  </si>
  <si>
    <t>Account payable</t>
  </si>
  <si>
    <t>Net change in Working capital</t>
  </si>
  <si>
    <t xml:space="preserve">Working capital </t>
  </si>
  <si>
    <t>IRR</t>
  </si>
  <si>
    <t>DSO</t>
  </si>
  <si>
    <t xml:space="preserve">Direct materials cost </t>
  </si>
  <si>
    <t>income taxes (16%)</t>
  </si>
  <si>
    <t>Account receivable = monthly volume * number of months * price</t>
  </si>
  <si>
    <t>• Finished good inventory = monthly volume * number of months * (cost of raw materials + labor + overhead)</t>
  </si>
  <si>
    <t>• Raw material inventory = monthly volume * number of months * cost of raw material</t>
  </si>
  <si>
    <t>• Account payable = monthly volume * number of months * cost of raw material</t>
  </si>
  <si>
    <t>Variable (1.37 per unit)</t>
  </si>
  <si>
    <t>Variable manufacturing rate per unit ( 1.37)</t>
  </si>
  <si>
    <t>NPW</t>
  </si>
  <si>
    <t>NET INCOME</t>
  </si>
  <si>
    <t>PV 2025</t>
  </si>
  <si>
    <t>ROE</t>
  </si>
  <si>
    <t xml:space="preserve">Tax Rate </t>
  </si>
  <si>
    <t xml:space="preserve">Assets </t>
  </si>
  <si>
    <t>Liabilities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</si>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</sst>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-* #,##0.00_-;_-* #,##0.00\-;_-* &quot;-&quot;??_-;_-@_-"/>
    <numFmt numFmtId="165" formatCode="&quot;$&quot;#,##0.00"/>
    <numFmt numFmtId="166" formatCode="&quot;$&quot;#,##0"/>
    <numFmt numFmtId="167" formatCode="#,##0.0000000_);[Red]\(#,##0.0000000\)"/>
    <numFmt numFmtId="168" formatCode="#,##0.0000000000_);[Red]\(#,##0.0000000000\)"/>
    <numFmt numFmtId="169" formatCode="0.00000000%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u/>
      <sz val="12"/>
      <color indexed="18"/>
      <name val="Times New Roman"/>
      <family val="1"/>
    </font>
    <font>
      <b/>
      <u/>
      <sz val="12"/>
      <color indexed="18"/>
      <name val="Arabic Transparent"/>
      <charset val="178"/>
    </font>
    <font>
      <sz val="10"/>
      <name val="Times New Roman"/>
      <family val="1"/>
    </font>
    <font>
      <b/>
      <sz val="14"/>
      <color indexed="54"/>
      <name val="Times New Roman"/>
      <family val="1"/>
    </font>
    <font>
      <b/>
      <sz val="14"/>
      <color indexed="54"/>
      <name val="Arabic Transparent"/>
      <charset val="178"/>
    </font>
    <font>
      <sz val="12"/>
      <color indexed="18"/>
      <name val="Times New Roman"/>
      <family val="1"/>
    </font>
    <font>
      <sz val="12"/>
      <color indexed="18"/>
      <name val="Arabic Transparent"/>
      <charset val="178"/>
    </font>
    <font>
      <sz val="12"/>
      <name val="Times New Roman"/>
      <family val="1"/>
    </font>
    <font>
      <u/>
      <sz val="12"/>
      <color indexed="18"/>
      <name val="Times New Roman"/>
      <family val="1"/>
    </font>
    <font>
      <b/>
      <sz val="12"/>
      <color indexed="54"/>
      <name val="Times New Roman"/>
      <family val="1"/>
    </font>
    <font>
      <b/>
      <u/>
      <sz val="14"/>
      <color indexed="54"/>
      <name val="Times New Roman"/>
      <family val="1"/>
    </font>
    <font>
      <b/>
      <u/>
      <sz val="14"/>
      <color indexed="54"/>
      <name val="Arabic Transparent"/>
      <charset val="178"/>
    </font>
    <font>
      <sz val="12"/>
      <color indexed="62"/>
      <name val="Arabic Transparent"/>
      <charset val="178"/>
    </font>
    <font>
      <b/>
      <sz val="11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i/>
      <u/>
      <sz val="11"/>
      <color theme="1"/>
      <name val="Abadi"/>
      <family val="2"/>
    </font>
    <font>
      <b/>
      <u/>
      <sz val="11"/>
      <color theme="1"/>
      <name val="Abadi"/>
      <family val="2"/>
    </font>
    <font>
      <b/>
      <sz val="11"/>
      <color theme="1"/>
      <name val="Abad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indexed="18"/>
      <name val="Tahoma"/>
      <family val="2"/>
    </font>
    <font>
      <b/>
      <sz val="11"/>
      <color theme="1"/>
      <name val="Aptos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theme="1"/>
      <name val="Aptos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hair">
        <color indexed="18"/>
      </top>
      <bottom/>
      <diagonal/>
    </border>
    <border>
      <left/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1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19">
    <xf numFmtId="0" fontId="0" fillId="0" borderId="0" xfId="0"/>
    <xf numFmtId="0" fontId="18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1" fillId="0" borderId="0" xfId="1" applyFont="1" applyAlignment="1">
      <alignment horizontal="center" vertical="center"/>
    </xf>
    <xf numFmtId="3" fontId="23" fillId="0" borderId="11" xfId="1" applyNumberFormat="1" applyFont="1" applyBorder="1" applyAlignment="1">
      <alignment horizontal="center" vertical="center"/>
    </xf>
    <xf numFmtId="3" fontId="23" fillId="0" borderId="12" xfId="1" applyNumberFormat="1" applyFont="1" applyBorder="1" applyAlignment="1">
      <alignment horizontal="center" vertical="center"/>
    </xf>
    <xf numFmtId="0" fontId="25" fillId="0" borderId="0" xfId="1" applyFont="1" applyAlignment="1">
      <alignment vertical="center"/>
    </xf>
    <xf numFmtId="2" fontId="23" fillId="0" borderId="10" xfId="1" applyNumberFormat="1" applyFont="1" applyBorder="1" applyAlignment="1">
      <alignment horizontal="center" vertical="center"/>
    </xf>
    <xf numFmtId="2" fontId="23" fillId="0" borderId="11" xfId="1" applyNumberFormat="1" applyFont="1" applyBorder="1" applyAlignment="1">
      <alignment horizontal="center" vertical="center"/>
    </xf>
    <xf numFmtId="2" fontId="23" fillId="0" borderId="12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3" fontId="20" fillId="0" borderId="0" xfId="1" applyNumberFormat="1" applyFont="1" applyAlignment="1">
      <alignment vertical="center"/>
    </xf>
    <xf numFmtId="3" fontId="25" fillId="0" borderId="0" xfId="1" applyNumberFormat="1" applyFont="1" applyAlignment="1">
      <alignment vertical="center"/>
    </xf>
    <xf numFmtId="0" fontId="23" fillId="0" borderId="10" xfId="1" applyFont="1" applyBorder="1" applyAlignment="1">
      <alignment vertical="center"/>
    </xf>
    <xf numFmtId="0" fontId="23" fillId="0" borderId="11" xfId="1" applyFont="1" applyBorder="1" applyAlignment="1">
      <alignment vertical="center"/>
    </xf>
    <xf numFmtId="0" fontId="23" fillId="0" borderId="12" xfId="1" applyFont="1" applyBorder="1" applyAlignment="1">
      <alignment vertical="center"/>
    </xf>
    <xf numFmtId="0" fontId="23" fillId="0" borderId="11" xfId="1" applyFont="1" applyBorder="1" applyAlignment="1">
      <alignment horizontal="left" vertical="center"/>
    </xf>
    <xf numFmtId="0" fontId="23" fillId="0" borderId="13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23" fillId="0" borderId="14" xfId="1" applyFont="1" applyBorder="1" applyAlignment="1">
      <alignment vertical="center"/>
    </xf>
    <xf numFmtId="0" fontId="25" fillId="0" borderId="15" xfId="1" applyFont="1" applyBorder="1" applyAlignment="1">
      <alignment vertical="center"/>
    </xf>
    <xf numFmtId="0" fontId="23" fillId="0" borderId="10" xfId="1" applyFont="1" applyBorder="1" applyAlignment="1">
      <alignment vertical="center" wrapText="1"/>
    </xf>
    <xf numFmtId="0" fontId="23" fillId="0" borderId="15" xfId="1" applyFont="1" applyBorder="1" applyAlignment="1">
      <alignment vertical="center"/>
    </xf>
    <xf numFmtId="0" fontId="23" fillId="0" borderId="0" xfId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19" fillId="0" borderId="0" xfId="1" applyFont="1"/>
    <xf numFmtId="0" fontId="22" fillId="0" borderId="0" xfId="1" applyFont="1" applyAlignment="1">
      <alignment vertical="center"/>
    </xf>
    <xf numFmtId="0" fontId="24" fillId="0" borderId="10" xfId="1" applyFont="1" applyBorder="1" applyAlignment="1">
      <alignment horizontal="right" vertical="center"/>
    </xf>
    <xf numFmtId="0" fontId="24" fillId="0" borderId="11" xfId="1" applyFont="1" applyBorder="1" applyAlignment="1">
      <alignment horizontal="right" vertical="center"/>
    </xf>
    <xf numFmtId="0" fontId="24" fillId="0" borderId="12" xfId="1" applyFont="1" applyBorder="1" applyAlignment="1">
      <alignment horizontal="right" vertical="center"/>
    </xf>
    <xf numFmtId="0" fontId="24" fillId="0" borderId="0" xfId="1" applyFont="1" applyAlignment="1">
      <alignment vertical="center"/>
    </xf>
    <xf numFmtId="0" fontId="22" fillId="0" borderId="0" xfId="1" applyFont="1" applyAlignment="1">
      <alignment horizontal="right" vertical="center"/>
    </xf>
    <xf numFmtId="0" fontId="24" fillId="0" borderId="11" xfId="1" applyFont="1" applyBorder="1" applyAlignment="1">
      <alignment vertical="center"/>
    </xf>
    <xf numFmtId="0" fontId="24" fillId="0" borderId="13" xfId="1" applyFont="1" applyBorder="1" applyAlignment="1">
      <alignment vertical="center"/>
    </xf>
    <xf numFmtId="0" fontId="29" fillId="0" borderId="0" xfId="1" applyFont="1" applyAlignment="1">
      <alignment horizontal="right" vertical="center"/>
    </xf>
    <xf numFmtId="0" fontId="24" fillId="0" borderId="10" xfId="1" applyFont="1" applyBorder="1" applyAlignment="1">
      <alignment vertical="center"/>
    </xf>
    <xf numFmtId="0" fontId="30" fillId="0" borderId="0" xfId="1" applyFont="1" applyAlignment="1">
      <alignment vertical="center"/>
    </xf>
    <xf numFmtId="0" fontId="24" fillId="0" borderId="14" xfId="1" applyFont="1" applyBorder="1" applyAlignment="1">
      <alignment vertical="center"/>
    </xf>
    <xf numFmtId="0" fontId="24" fillId="0" borderId="12" xfId="1" applyFont="1" applyBorder="1" applyAlignment="1">
      <alignment vertical="center"/>
    </xf>
    <xf numFmtId="0" fontId="24" fillId="0" borderId="15" xfId="1" applyFont="1" applyBorder="1" applyAlignment="1">
      <alignment vertical="center"/>
    </xf>
    <xf numFmtId="0" fontId="1" fillId="0" borderId="15" xfId="1" applyBorder="1" applyAlignment="1">
      <alignment vertical="center"/>
    </xf>
    <xf numFmtId="0" fontId="18" fillId="0" borderId="0" xfId="1" applyFont="1" applyAlignment="1">
      <alignment horizontal="center"/>
    </xf>
    <xf numFmtId="0" fontId="1" fillId="0" borderId="0" xfId="1"/>
    <xf numFmtId="14" fontId="23" fillId="0" borderId="12" xfId="1" applyNumberFormat="1" applyFont="1" applyBorder="1" applyAlignment="1">
      <alignment horizontal="center" vertical="center"/>
    </xf>
    <xf numFmtId="3" fontId="23" fillId="0" borderId="10" xfId="1" applyNumberFormat="1" applyFont="1" applyBorder="1" applyAlignment="1">
      <alignment horizontal="center" vertical="center"/>
    </xf>
    <xf numFmtId="38" fontId="23" fillId="0" borderId="0" xfId="1" applyNumberFormat="1" applyFont="1" applyAlignment="1">
      <alignment horizontal="center" vertical="center"/>
    </xf>
    <xf numFmtId="38" fontId="27" fillId="0" borderId="0" xfId="1" applyNumberFormat="1" applyFont="1" applyAlignment="1">
      <alignment horizontal="center" vertical="center"/>
    </xf>
    <xf numFmtId="38" fontId="23" fillId="0" borderId="10" xfId="1" applyNumberFormat="1" applyFont="1" applyBorder="1" applyAlignment="1">
      <alignment horizontal="center" vertical="center"/>
    </xf>
    <xf numFmtId="38" fontId="23" fillId="0" borderId="11" xfId="1" applyNumberFormat="1" applyFont="1" applyBorder="1" applyAlignment="1">
      <alignment horizontal="center" vertical="center"/>
    </xf>
    <xf numFmtId="38" fontId="23" fillId="0" borderId="12" xfId="1" applyNumberFormat="1" applyFont="1" applyBorder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7" xfId="0" applyBorder="1"/>
    <xf numFmtId="38" fontId="0" fillId="0" borderId="17" xfId="0" applyNumberFormat="1" applyBorder="1"/>
    <xf numFmtId="0" fontId="0" fillId="0" borderId="17" xfId="0" applyBorder="1" applyAlignment="1">
      <alignment horizontal="center"/>
    </xf>
    <xf numFmtId="8" fontId="0" fillId="0" borderId="17" xfId="0" applyNumberFormat="1" applyBorder="1"/>
    <xf numFmtId="0" fontId="31" fillId="0" borderId="0" xfId="0" applyFont="1" applyAlignment="1">
      <alignment horizontal="center"/>
    </xf>
    <xf numFmtId="8" fontId="31" fillId="0" borderId="0" xfId="0" applyNumberFormat="1" applyFont="1" applyAlignment="1">
      <alignment horizontal="center"/>
    </xf>
    <xf numFmtId="0" fontId="31" fillId="0" borderId="17" xfId="0" applyFont="1" applyBorder="1" applyAlignment="1">
      <alignment horizontal="center"/>
    </xf>
    <xf numFmtId="8" fontId="0" fillId="0" borderId="0" xfId="0" applyNumberFormat="1"/>
    <xf numFmtId="0" fontId="37" fillId="33" borderId="0" xfId="0" applyFont="1" applyFill="1"/>
    <xf numFmtId="0" fontId="37" fillId="34" borderId="0" xfId="0" applyFont="1" applyFill="1"/>
    <xf numFmtId="0" fontId="36" fillId="34" borderId="0" xfId="0" applyFont="1" applyFill="1"/>
    <xf numFmtId="3" fontId="37" fillId="0" borderId="0" xfId="0" applyNumberFormat="1" applyFont="1" applyAlignment="1">
      <alignment horizontal="left"/>
    </xf>
    <xf numFmtId="6" fontId="37" fillId="0" borderId="0" xfId="0" applyNumberFormat="1" applyFont="1" applyAlignment="1">
      <alignment horizontal="left"/>
    </xf>
    <xf numFmtId="1" fontId="37" fillId="0" borderId="0" xfId="0" applyNumberFormat="1" applyFont="1" applyAlignment="1">
      <alignment horizontal="left"/>
    </xf>
    <xf numFmtId="0" fontId="37" fillId="0" borderId="0" xfId="0" applyFont="1" applyAlignment="1">
      <alignment horizontal="left"/>
    </xf>
    <xf numFmtId="0" fontId="36" fillId="34" borderId="0" xfId="0" applyFont="1" applyFill="1" applyAlignment="1">
      <alignment horizontal="left"/>
    </xf>
    <xf numFmtId="165" fontId="37" fillId="0" borderId="0" xfId="0" applyNumberFormat="1" applyFont="1" applyAlignment="1">
      <alignment horizontal="left"/>
    </xf>
    <xf numFmtId="166" fontId="37" fillId="0" borderId="0" xfId="0" applyNumberFormat="1" applyFont="1" applyAlignment="1">
      <alignment horizontal="left"/>
    </xf>
    <xf numFmtId="38" fontId="37" fillId="0" borderId="0" xfId="0" applyNumberFormat="1" applyFont="1" applyAlignment="1">
      <alignment horizontal="left"/>
    </xf>
    <xf numFmtId="0" fontId="37" fillId="0" borderId="0" xfId="0" applyFont="1"/>
    <xf numFmtId="8" fontId="37" fillId="0" borderId="0" xfId="0" applyNumberFormat="1" applyFont="1" applyAlignment="1">
      <alignment horizontal="left"/>
    </xf>
    <xf numFmtId="0" fontId="37" fillId="34" borderId="0" xfId="0" applyFont="1" applyFill="1" applyAlignment="1">
      <alignment horizontal="left"/>
    </xf>
    <xf numFmtId="3" fontId="37" fillId="0" borderId="0" xfId="0" applyNumberFormat="1" applyFont="1"/>
    <xf numFmtId="1" fontId="37" fillId="0" borderId="0" xfId="0" applyNumberFormat="1" applyFont="1"/>
    <xf numFmtId="3" fontId="0" fillId="0" borderId="0" xfId="0" applyNumberFormat="1"/>
    <xf numFmtId="3" fontId="37" fillId="35" borderId="0" xfId="0" applyNumberFormat="1" applyFont="1" applyFill="1"/>
    <xf numFmtId="165" fontId="0" fillId="0" borderId="0" xfId="0" applyNumberFormat="1"/>
    <xf numFmtId="6" fontId="37" fillId="35" borderId="0" xfId="0" applyNumberFormat="1" applyFont="1" applyFill="1" applyAlignment="1">
      <alignment horizontal="left"/>
    </xf>
    <xf numFmtId="0" fontId="32" fillId="36" borderId="0" xfId="0" applyFont="1" applyFill="1" applyAlignment="1">
      <alignment horizontal="center"/>
    </xf>
    <xf numFmtId="0" fontId="31" fillId="36" borderId="0" xfId="0" applyFont="1" applyFill="1" applyAlignment="1">
      <alignment horizontal="center"/>
    </xf>
    <xf numFmtId="166" fontId="37" fillId="35" borderId="0" xfId="0" applyNumberFormat="1" applyFont="1" applyFill="1" applyAlignment="1">
      <alignment horizontal="left"/>
    </xf>
    <xf numFmtId="166" fontId="37" fillId="35" borderId="20" xfId="0" applyNumberFormat="1" applyFont="1" applyFill="1" applyBorder="1" applyAlignment="1">
      <alignment horizontal="left"/>
    </xf>
    <xf numFmtId="166" fontId="37" fillId="0" borderId="20" xfId="0" applyNumberFormat="1" applyFont="1" applyBorder="1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0" fillId="37" borderId="0" xfId="0" applyFill="1"/>
    <xf numFmtId="38" fontId="23" fillId="37" borderId="21" xfId="1" applyNumberFormat="1" applyFont="1" applyFill="1" applyBorder="1" applyAlignment="1">
      <alignment horizontal="center" vertical="center"/>
    </xf>
    <xf numFmtId="38" fontId="23" fillId="37" borderId="16" xfId="1" applyNumberFormat="1" applyFont="1" applyFill="1" applyBorder="1" applyAlignment="1">
      <alignment horizontal="center" vertical="center"/>
    </xf>
    <xf numFmtId="0" fontId="21" fillId="37" borderId="0" xfId="1" applyFont="1" applyFill="1" applyAlignment="1">
      <alignment vertical="center"/>
    </xf>
    <xf numFmtId="38" fontId="27" fillId="37" borderId="0" xfId="1" applyNumberFormat="1" applyFont="1" applyFill="1" applyAlignment="1">
      <alignment horizontal="center" vertical="center"/>
    </xf>
    <xf numFmtId="0" fontId="23" fillId="37" borderId="10" xfId="1" applyFont="1" applyFill="1" applyBorder="1" applyAlignment="1">
      <alignment vertical="center"/>
    </xf>
    <xf numFmtId="0" fontId="23" fillId="37" borderId="11" xfId="1" applyFont="1" applyFill="1" applyBorder="1" applyAlignment="1">
      <alignment vertical="center"/>
    </xf>
    <xf numFmtId="0" fontId="23" fillId="37" borderId="12" xfId="1" applyFont="1" applyFill="1" applyBorder="1" applyAlignment="1">
      <alignment vertical="center"/>
    </xf>
    <xf numFmtId="0" fontId="36" fillId="33" borderId="0" xfId="0" applyFont="1" applyFill="1" applyAlignment="1">
      <alignment horizontal="center"/>
    </xf>
    <xf numFmtId="0" fontId="23" fillId="37" borderId="13" xfId="1" applyFont="1" applyFill="1" applyBorder="1" applyAlignment="1">
      <alignment vertical="center"/>
    </xf>
    <xf numFmtId="38" fontId="23" fillId="37" borderId="0" xfId="1" applyNumberFormat="1" applyFont="1" applyFill="1" applyAlignment="1">
      <alignment horizontal="center" vertical="center"/>
    </xf>
    <xf numFmtId="169" fontId="31" fillId="0" borderId="0" xfId="0" applyNumberFormat="1" applyFont="1"/>
    <xf numFmtId="0" fontId="38" fillId="0" borderId="0" xfId="1" applyFont="1" applyAlignment="1">
      <alignment horizontal="center" vertical="center"/>
    </xf>
    <xf numFmtId="8" fontId="37" fillId="0" borderId="0" xfId="0" applyNumberFormat="1" applyFont="1"/>
    <xf numFmtId="166" fontId="37" fillId="0" borderId="0" xfId="0" applyNumberFormat="1" applyFont="1"/>
    <xf numFmtId="9" fontId="37" fillId="0" borderId="0" xfId="0" applyNumberFormat="1" applyFont="1"/>
    <xf numFmtId="0" fontId="39" fillId="0" borderId="22" xfId="0" applyFont="1" applyBorder="1" applyAlignment="1">
      <alignment horizontal="center" vertical="center" wrapText="1"/>
    </xf>
    <xf numFmtId="0" fontId="40" fillId="0" borderId="23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3" fontId="41" fillId="0" borderId="25" xfId="0" applyNumberFormat="1" applyFont="1" applyBorder="1" applyAlignment="1">
      <alignment horizontal="center" vertical="center" wrapText="1"/>
    </xf>
    <xf numFmtId="3" fontId="42" fillId="0" borderId="25" xfId="0" applyNumberFormat="1" applyFont="1" applyBorder="1" applyAlignment="1">
      <alignment horizontal="center" vertical="center" wrapText="1"/>
    </xf>
    <xf numFmtId="0" fontId="32" fillId="0" borderId="0" xfId="0" applyFont="1"/>
    <xf numFmtId="43" fontId="0" fillId="0" borderId="0" xfId="0" applyNumberFormat="1"/>
    <xf numFmtId="38" fontId="0" fillId="0" borderId="0" xfId="0" applyNumberFormat="1"/>
    <xf numFmtId="0" fontId="36" fillId="33" borderId="0" xfId="0" applyFont="1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/>
    <xf numFmtId="3" fontId="23" fillId="0" borderId="0" xfId="1" applyNumberFormat="1" applyFont="1" applyBorder="1" applyAlignment="1">
      <alignment horizontal="center" vertical="center"/>
    </xf>
  </cellXfs>
  <cellStyles count="44">
    <cellStyle name="20% - Accent1 2" xfId="20" xr:uid="{A1F43F93-72DE-402B-917C-48818AC4ED05}"/>
    <cellStyle name="20% - Accent2 2" xfId="24" xr:uid="{32FA0E87-3BB2-4093-A4B3-0DF7D239DFA0}"/>
    <cellStyle name="20% - Accent3 2" xfId="28" xr:uid="{84A68443-503D-434F-BB37-A4DB1B8B6651}"/>
    <cellStyle name="20% - Accent4 2" xfId="32" xr:uid="{95F1A8C6-612B-4A60-8576-8277609B1DB2}"/>
    <cellStyle name="20% - Accent5 2" xfId="36" xr:uid="{3BCF057F-58DB-4599-9A02-02C5E8A253BF}"/>
    <cellStyle name="20% - Accent6 2" xfId="40" xr:uid="{CDBF98A9-9BB9-4A03-9DD4-7C12449E3C66}"/>
    <cellStyle name="40% - Accent1 2" xfId="21" xr:uid="{65DFDE8D-1E88-42D7-A65E-817AC0895383}"/>
    <cellStyle name="40% - Accent2 2" xfId="25" xr:uid="{67DF18F6-0C43-47E3-AEC3-AEE2FEBEB404}"/>
    <cellStyle name="40% - Accent3 2" xfId="29" xr:uid="{161123FE-DEFA-4763-BCC7-18F8423EA405}"/>
    <cellStyle name="40% - Accent4 2" xfId="33" xr:uid="{D8DD3CBA-7326-4924-AB94-CB2B3047D876}"/>
    <cellStyle name="40% - Accent5 2" xfId="37" xr:uid="{0BD0F04A-E8C5-4E28-9361-EC6CFCC0436D}"/>
    <cellStyle name="40% - Accent6 2" xfId="41" xr:uid="{6BE67FF6-E094-4590-B48A-289E94BCAB64}"/>
    <cellStyle name="60% - Accent1 2" xfId="22" xr:uid="{70207DA3-1692-452A-9956-029635233EA0}"/>
    <cellStyle name="60% - Accent2 2" xfId="26" xr:uid="{3C5ADE83-354A-4167-951E-6FFE4A01580F}"/>
    <cellStyle name="60% - Accent3 2" xfId="30" xr:uid="{FB5E2AED-6F86-4770-85BB-3C68A283CFC3}"/>
    <cellStyle name="60% - Accent4 2" xfId="34" xr:uid="{D73FD068-599A-4E1C-A9BD-F2F348540392}"/>
    <cellStyle name="60% - Accent5 2" xfId="38" xr:uid="{8D190D44-1C7E-4C63-9EC8-2A91B147E990}"/>
    <cellStyle name="60% - Accent6 2" xfId="42" xr:uid="{AFD92199-693A-42E4-936E-03B8D9FDA616}"/>
    <cellStyle name="Accent1 2" xfId="19" xr:uid="{342AE6CC-5002-45D8-B314-153CBDE0E5CF}"/>
    <cellStyle name="Accent2 2" xfId="23" xr:uid="{42339E46-DA69-46D2-A791-B8CCF7167EE6}"/>
    <cellStyle name="Accent3 2" xfId="27" xr:uid="{708EEDD2-C288-4D06-AC81-F729A69A146A}"/>
    <cellStyle name="Accent4 2" xfId="31" xr:uid="{A2EC4C36-E4CC-4C96-B1E1-BEB13A69EFF6}"/>
    <cellStyle name="Accent5 2" xfId="35" xr:uid="{2C272CA2-A02B-46C5-B030-C8AC56F892C4}"/>
    <cellStyle name="Accent6 2" xfId="39" xr:uid="{04B59199-4D63-45D3-BF50-6F62614F5268}"/>
    <cellStyle name="Bad 2" xfId="8" xr:uid="{40CDD05D-ABF8-4665-82DF-97144EEDA65F}"/>
    <cellStyle name="Calculation 2" xfId="12" xr:uid="{F9491318-F81A-4B2A-90C5-24E83327E18D}"/>
    <cellStyle name="Check Cell 2" xfId="14" xr:uid="{9D7335F3-5B39-402A-AB9F-870851A22B9D}"/>
    <cellStyle name="Comma 2" xfId="43" xr:uid="{0D3261F6-DCA7-4B07-85CF-68634675F8CE}"/>
    <cellStyle name="Explanatory Text 2" xfId="17" xr:uid="{C038059B-047B-4048-B409-B5A38727B591}"/>
    <cellStyle name="Good 2" xfId="7" xr:uid="{CF3FCDCD-101C-4B87-A3E6-E9B5C7ACFA42}"/>
    <cellStyle name="Heading 1 2" xfId="3" xr:uid="{614D682A-FDC2-49EA-8569-03703732DE7D}"/>
    <cellStyle name="Heading 2 2" xfId="4" xr:uid="{DA3C7B9A-F917-48FF-9534-2A5D7AD64D20}"/>
    <cellStyle name="Heading 3 2" xfId="5" xr:uid="{86103B79-D912-4628-9997-DB90721E228B}"/>
    <cellStyle name="Heading 4 2" xfId="6" xr:uid="{FEE96EA2-646E-446D-9B45-E790163EC24C}"/>
    <cellStyle name="Input 2" xfId="10" xr:uid="{5002E2A1-5086-4C1F-86A0-C141CCB4BF2E}"/>
    <cellStyle name="Linked Cell 2" xfId="13" xr:uid="{D76C2889-550E-4A67-9B38-A0A40462D35B}"/>
    <cellStyle name="Neutral 2" xfId="9" xr:uid="{C5D97413-0E0C-4F26-9C97-96E04B5A7690}"/>
    <cellStyle name="Normal" xfId="0" builtinId="0"/>
    <cellStyle name="Normal 2" xfId="1" xr:uid="{0D0EE004-A457-4EC3-8D8C-70D9D1ED3C2D}"/>
    <cellStyle name="Note 2" xfId="16" xr:uid="{473BF036-98EA-46E0-9CA9-AF6CB83991A5}"/>
    <cellStyle name="Output 2" xfId="11" xr:uid="{882B831D-584F-44C8-B95E-39DB7CC83CFE}"/>
    <cellStyle name="Title 2" xfId="2" xr:uid="{98B119D6-29ED-4A08-BA6E-22448F1B097F}"/>
    <cellStyle name="Total 2" xfId="18" xr:uid="{BF9DB1F4-1FF4-4C3D-9B5A-F724F7586549}"/>
    <cellStyle name="Warning Text 2" xfId="15" xr:uid="{7D8610A2-0D11-4FE5-8917-16465C79B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MAR'!$B$115:$F$115</c:f>
              <c:numCache>
                <c:formatCode>General</c:formatCode>
                <c:ptCount val="5"/>
                <c:pt idx="0">
                  <c:v>1.0873276171069421</c:v>
                </c:pt>
                <c:pt idx="1">
                  <c:v>1.1171876038748325</c:v>
                </c:pt>
                <c:pt idx="2">
                  <c:v>0.84301008673560185</c:v>
                </c:pt>
                <c:pt idx="3">
                  <c:v>0.6656939318189693</c:v>
                </c:pt>
                <c:pt idx="4">
                  <c:v>0.9593864347623029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0-45E4-B708-82EA6F979F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4940224"/>
        <c:axId val="1624940704"/>
      </c:barChart>
      <c:catAx>
        <c:axId val="1624940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8921323324993047E-2"/>
              <c:y val="0.40492412460916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40704"/>
        <c:crosses val="autoZero"/>
        <c:auto val="1"/>
        <c:lblAlgn val="ctr"/>
        <c:lblOffset val="100"/>
        <c:noMultiLvlLbl val="0"/>
      </c:catAx>
      <c:valAx>
        <c:axId val="1624940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Value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4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Quick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MAR'!$B$116:$F$116</c:f>
              <c:numCache>
                <c:formatCode>General</c:formatCode>
                <c:ptCount val="5"/>
                <c:pt idx="0">
                  <c:v>0.8677419929448259</c:v>
                </c:pt>
                <c:pt idx="1">
                  <c:v>0.7971142807801711</c:v>
                </c:pt>
                <c:pt idx="2">
                  <c:v>0.62041136768955185</c:v>
                </c:pt>
                <c:pt idx="3">
                  <c:v>0.45345785172792225</c:v>
                </c:pt>
                <c:pt idx="4">
                  <c:v>0.61484490943928882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C-4A59-8BBD-3202227B8F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07731152"/>
        <c:axId val="907730192"/>
        <c:axId val="1183404560"/>
      </c:line3DChart>
      <c:catAx>
        <c:axId val="90773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30192"/>
        <c:crosses val="autoZero"/>
        <c:auto val="1"/>
        <c:lblAlgn val="ctr"/>
        <c:lblOffset val="100"/>
        <c:noMultiLvlLbl val="0"/>
      </c:catAx>
      <c:valAx>
        <c:axId val="907730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Value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31152"/>
        <c:crosses val="autoZero"/>
        <c:crossBetween val="between"/>
      </c:valAx>
      <c:serAx>
        <c:axId val="1183404560"/>
        <c:scaling>
          <c:orientation val="minMax"/>
        </c:scaling>
        <c:delete val="1"/>
        <c:axPos val="b"/>
        <c:majorTickMark val="out"/>
        <c:minorTickMark val="none"/>
        <c:tickLblPos val="nextTo"/>
        <c:crossAx val="90773019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MAR'!$B$117:$F$117</c:f>
              <c:numCache>
                <c:formatCode>General</c:formatCode>
                <c:ptCount val="5"/>
                <c:pt idx="0">
                  <c:v>1.0509608649266401E-2</c:v>
                </c:pt>
                <c:pt idx="1">
                  <c:v>1.7574824272123951E-2</c:v>
                </c:pt>
                <c:pt idx="2">
                  <c:v>1.6692944562749529E-2</c:v>
                </c:pt>
                <c:pt idx="3">
                  <c:v>1.205189324965626E-2</c:v>
                </c:pt>
                <c:pt idx="4">
                  <c:v>1.575679231396326E-2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6-4231-9C5A-2A621BF6A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91035600"/>
        <c:axId val="491033680"/>
      </c:lineChart>
      <c:catAx>
        <c:axId val="491035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33680"/>
        <c:crosses val="autoZero"/>
        <c:auto val="1"/>
        <c:lblAlgn val="ctr"/>
        <c:lblOffset val="100"/>
        <c:noMultiLvlLbl val="0"/>
      </c:catAx>
      <c:valAx>
        <c:axId val="491033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Value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35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Inventory Turnover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70AD47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MAR'!$B$118:$F$118</c:f>
              <c:numCache>
                <c:formatCode>General</c:formatCode>
                <c:ptCount val="5"/>
                <c:pt idx="0">
                  <c:v>9.4774652018358481</c:v>
                </c:pt>
                <c:pt idx="1">
                  <c:v>17.809842594866208</c:v>
                </c:pt>
                <c:pt idx="2">
                  <c:v>10.923007870282985</c:v>
                </c:pt>
                <c:pt idx="3">
                  <c:v>9.0670904429092491</c:v>
                </c:pt>
                <c:pt idx="4">
                  <c:v>10.810632731329358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15-468D-9924-B469148B4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046992"/>
        <c:axId val="907045552"/>
      </c:lineChart>
      <c:catAx>
        <c:axId val="90704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45552"/>
        <c:crosses val="autoZero"/>
        <c:auto val="1"/>
        <c:lblAlgn val="ctr"/>
        <c:lblOffset val="100"/>
        <c:noMultiLvlLbl val="0"/>
      </c:catAx>
      <c:valAx>
        <c:axId val="9070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Vlue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4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DSO  </a:t>
            </a:r>
          </a:p>
        </c:rich>
      </c:tx>
      <c:layout>
        <c:manualLayout>
          <c:xMode val="edge"/>
          <c:yMode val="edge"/>
          <c:x val="0.45282858199855958"/>
          <c:y val="2.7758501040943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MAR'!$B$119:$F$119</c:f>
              <c:numCache>
                <c:formatCode>General</c:formatCode>
                <c:ptCount val="5"/>
                <c:pt idx="0">
                  <c:v>55.481686574578006</c:v>
                </c:pt>
                <c:pt idx="1">
                  <c:v>33.335074156076324</c:v>
                </c:pt>
                <c:pt idx="2">
                  <c:v>54.345426782956672</c:v>
                </c:pt>
                <c:pt idx="3">
                  <c:v>65.315762140680206</c:v>
                </c:pt>
                <c:pt idx="4">
                  <c:v>54.660251884479706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9-4CA4-BD99-BE1392D22A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62079600"/>
        <c:axId val="162074320"/>
      </c:barChart>
      <c:catAx>
        <c:axId val="162079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r>
                  <a:rPr lang="en-US" baseline="0"/>
                  <a:t>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4320"/>
        <c:crosses val="autoZero"/>
        <c:auto val="1"/>
        <c:lblAlgn val="ctr"/>
        <c:lblOffset val="100"/>
        <c:noMultiLvlLbl val="0"/>
      </c:catAx>
      <c:valAx>
        <c:axId val="162074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Value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MAR'!$B$120:$F$120</c:f>
              <c:numCache>
                <c:formatCode>General</c:formatCode>
                <c:ptCount val="5"/>
                <c:pt idx="0">
                  <c:v>37.226047872554972</c:v>
                </c:pt>
                <c:pt idx="1">
                  <c:v>21.656424017938811</c:v>
                </c:pt>
                <c:pt idx="2">
                  <c:v>37.238771336745927</c:v>
                </c:pt>
                <c:pt idx="3">
                  <c:v>40.299007634826658</c:v>
                </c:pt>
                <c:pt idx="4">
                  <c:v>39.93454846453308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2-4EB1-96F7-74A7389EE80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75870112"/>
        <c:axId val="1175872992"/>
      </c:barChart>
      <c:catAx>
        <c:axId val="1175870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72992"/>
        <c:crosses val="autoZero"/>
        <c:auto val="1"/>
        <c:lblAlgn val="ctr"/>
        <c:lblOffset val="100"/>
        <c:noMultiLvlLbl val="0"/>
      </c:catAx>
      <c:valAx>
        <c:axId val="117587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7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effectLst/>
              </a:rPr>
              <a:t>Total Asset Turnover </a:t>
            </a:r>
            <a:endParaRPr lang="en-US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MAR'!$B$121:$F$121</c:f>
              <c:numCache>
                <c:formatCode>General</c:formatCode>
                <c:ptCount val="5"/>
                <c:pt idx="0">
                  <c:v>0.56048789026176915</c:v>
                </c:pt>
                <c:pt idx="1">
                  <c:v>0.8621645664239227</c:v>
                </c:pt>
                <c:pt idx="2">
                  <c:v>0.49661802279743866</c:v>
                </c:pt>
                <c:pt idx="3">
                  <c:v>0.41076046869272947</c:v>
                </c:pt>
                <c:pt idx="4">
                  <c:v>0.47990348618856321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1-4C2C-B605-0B70D8F74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173280"/>
        <c:axId val="490443088"/>
      </c:lineChart>
      <c:catAx>
        <c:axId val="49817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43088"/>
        <c:crosses val="autoZero"/>
        <c:auto val="1"/>
        <c:lblAlgn val="ctr"/>
        <c:lblOffset val="100"/>
        <c:noMultiLvlLbl val="0"/>
      </c:catAx>
      <c:valAx>
        <c:axId val="490443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Value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7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tx1"/>
                </a:solidFill>
                <a:effectLst/>
              </a:rPr>
              <a:t>Gross Margin Ratio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MAR'!$B$122:$F$122</c:f>
              <c:numCache>
                <c:formatCode>General</c:formatCode>
                <c:ptCount val="5"/>
                <c:pt idx="0">
                  <c:v>-3.059396185904362E-2</c:v>
                </c:pt>
                <c:pt idx="1">
                  <c:v>5.3642758005541448E-2</c:v>
                </c:pt>
                <c:pt idx="2">
                  <c:v>0.10261250687295068</c:v>
                </c:pt>
                <c:pt idx="3">
                  <c:v>1.0772609930014907E-3</c:v>
                </c:pt>
                <c:pt idx="4">
                  <c:v>0.15375973513836097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D-449B-9CE2-7E9C203CE4F7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2224960"/>
        <c:axId val="1152226880"/>
      </c:lineChart>
      <c:catAx>
        <c:axId val="115222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26880"/>
        <c:crosses val="autoZero"/>
        <c:auto val="1"/>
        <c:lblAlgn val="ctr"/>
        <c:lblOffset val="100"/>
        <c:noMultiLvlLbl val="0"/>
      </c:catAx>
      <c:valAx>
        <c:axId val="115222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Value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2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MAR'!$B$123:$F$123</c:f>
              <c:numCache>
                <c:formatCode>General</c:formatCode>
                <c:ptCount val="5"/>
                <c:pt idx="0">
                  <c:v>5.2080494298454407E-3</c:v>
                </c:pt>
                <c:pt idx="1">
                  <c:v>3.3553106042618695E-3</c:v>
                </c:pt>
                <c:pt idx="2">
                  <c:v>1.151570990918333E-2</c:v>
                </c:pt>
                <c:pt idx="3">
                  <c:v>-0.10361564197652681</c:v>
                </c:pt>
                <c:pt idx="4">
                  <c:v>5.2141549535553854E-2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1-414B-AB8D-D9B50E7F13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5183152"/>
        <c:axId val="1355187952"/>
      </c:lineChart>
      <c:catAx>
        <c:axId val="1355183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87952"/>
        <c:crosses val="autoZero"/>
        <c:auto val="1"/>
        <c:lblAlgn val="ctr"/>
        <c:lblOffset val="100"/>
        <c:noMultiLvlLbl val="0"/>
      </c:catAx>
      <c:valAx>
        <c:axId val="13551879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8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ROA</a:t>
            </a:r>
            <a:r>
              <a:rPr lang="en-US" baseline="0"/>
              <a:t> &amp; ROE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'JORDAN POULTRY PROCESSING &amp; MAR'!$B$112:$F$112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MAR'!$B$124:$F$124</c:f>
              <c:numCache>
                <c:formatCode>General</c:formatCode>
                <c:ptCount val="5"/>
                <c:pt idx="0">
                  <c:v>4.4595504949316222E-3</c:v>
                </c:pt>
                <c:pt idx="1">
                  <c:v>4.656792961826077E-3</c:v>
                </c:pt>
                <c:pt idx="2">
                  <c:v>7.9315682760142375E-3</c:v>
                </c:pt>
                <c:pt idx="3">
                  <c:v>-4.2023529323381312E-2</c:v>
                </c:pt>
                <c:pt idx="4">
                  <c:v>2.8976169662204777E-2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7-4311-BE40-A98B25340321}"/>
            </c:ext>
          </c:extLst>
        </c:ser>
        <c:ser>
          <c:idx val="1"/>
          <c:order val="1"/>
          <c:tx>
            <c:v>ROE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'JORDAN POULTRY PROCESSING &amp; MAR'!$B$112:$F$112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MAR'!$B$125:$F$125</c:f>
              <c:numCache>
                <c:formatCode>General</c:formatCode>
                <c:ptCount val="5"/>
                <c:pt idx="0">
                  <c:v>9.2454185656858975E-3</c:v>
                </c:pt>
                <c:pt idx="1">
                  <c:v>1.0232946211212674E-2</c:v>
                </c:pt>
                <c:pt idx="2">
                  <c:v>2.1835168066450514E-2</c:v>
                </c:pt>
                <c:pt idx="3">
                  <c:v>-0.20452019996037415</c:v>
                </c:pt>
                <c:pt idx="4">
                  <c:v>0.11417251628604727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7-4311-BE40-A98B25340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19510688"/>
        <c:axId val="1719508288"/>
      </c:barChart>
      <c:catAx>
        <c:axId val="17195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08288"/>
        <c:crosses val="autoZero"/>
        <c:auto val="1"/>
        <c:lblAlgn val="ctr"/>
        <c:lblOffset val="100"/>
        <c:noMultiLvlLbl val="0"/>
      </c:catAx>
      <c:valAx>
        <c:axId val="17195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1068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EPS</a:t>
            </a:r>
          </a:p>
        </c:rich>
      </c:tx>
      <c:layout>
        <c:manualLayout>
          <c:xMode val="edge"/>
          <c:yMode val="edge"/>
          <c:x val="0.38867838313213765"/>
          <c:y val="2.7855153203342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'JORDAN POULTRY PROCESSING &amp; MAR'!$B$112:$F$112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MAR'!$B$126:$F$126</c:f>
              <c:numCache>
                <c:formatCode>General</c:formatCode>
                <c:ptCount val="5"/>
                <c:pt idx="0">
                  <c:v>8.9994590018254716E-3</c:v>
                </c:pt>
                <c:pt idx="1">
                  <c:v>9.649887799652819E-3</c:v>
                </c:pt>
                <c:pt idx="2">
                  <c:v>2.0315086335795381E-2</c:v>
                </c:pt>
                <c:pt idx="3">
                  <c:v>-0.15208916770540157</c:v>
                </c:pt>
                <c:pt idx="4">
                  <c:v>9.1454117772904284E-2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C-4F74-ADC8-5EEEC1769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028304"/>
        <c:axId val="1115029264"/>
      </c:lineChart>
      <c:catAx>
        <c:axId val="111502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029264"/>
        <c:crosses val="autoZero"/>
        <c:auto val="1"/>
        <c:lblAlgn val="ctr"/>
        <c:lblOffset val="100"/>
        <c:noMultiLvlLbl val="0"/>
      </c:catAx>
      <c:valAx>
        <c:axId val="11150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028304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P/E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MAR'!$E$112:$G$112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</c:numCache>
            </c:numRef>
          </c:cat>
          <c:val>
            <c:numRef>
              <c:f>'JORDAN POULTRY PROCESSING &amp; MAR'!$E$127:$I$127</c:f>
              <c:numCache>
                <c:formatCode>General</c:formatCode>
                <c:ptCount val="5"/>
                <c:pt idx="0">
                  <c:v>-14.925454812120583</c:v>
                </c:pt>
                <c:pt idx="1">
                  <c:v>36.083667749050363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4-4E35-A713-A3ABA5DCF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647582384"/>
        <c:axId val="1647569424"/>
      </c:barChart>
      <c:catAx>
        <c:axId val="1647582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569424"/>
        <c:crosses val="autoZero"/>
        <c:auto val="1"/>
        <c:lblAlgn val="ctr"/>
        <c:lblOffset val="100"/>
        <c:noMultiLvlLbl val="0"/>
      </c:catAx>
      <c:valAx>
        <c:axId val="1647569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58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Book</a:t>
            </a:r>
            <a:r>
              <a:rPr lang="en-US" baseline="0"/>
              <a:t> Value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MAR'!$B$112:$F$112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MAR'!$B$128:$F$128</c:f>
              <c:numCache>
                <c:formatCode>General</c:formatCode>
                <c:ptCount val="5"/>
                <c:pt idx="0">
                  <c:v>0.97339660047698673</c:v>
                </c:pt>
                <c:pt idx="1">
                  <c:v>0.94302145251961034</c:v>
                </c:pt>
                <c:pt idx="2">
                  <c:v>0.93038378610006112</c:v>
                </c:pt>
                <c:pt idx="3">
                  <c:v>0.74363885687022047</c:v>
                </c:pt>
                <c:pt idx="4">
                  <c:v>0.80101692375576261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D-4B66-9959-014C7C2D55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19509248"/>
        <c:axId val="1719513568"/>
      </c:barChart>
      <c:catAx>
        <c:axId val="171950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13568"/>
        <c:crosses val="autoZero"/>
        <c:auto val="1"/>
        <c:lblAlgn val="ctr"/>
        <c:lblOffset val="100"/>
        <c:noMultiLvlLbl val="0"/>
      </c:catAx>
      <c:valAx>
        <c:axId val="171951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Assets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MAR'!$B$29:$F$29</c:f>
              <c:numCache>
                <c:formatCode>#,##0</c:formatCode>
                <c:ptCount val="5"/>
                <c:pt idx="0">
                  <c:v>72630513</c:v>
                </c:pt>
                <c:pt idx="1">
                  <c:v>78585678</c:v>
                </c:pt>
                <c:pt idx="2">
                  <c:v>83685366</c:v>
                </c:pt>
                <c:pt idx="3">
                  <c:v>84183768</c:v>
                </c:pt>
                <c:pt idx="4">
                  <c:v>86101252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5-4052-80F8-7907DB46D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83578848"/>
        <c:axId val="2083577408"/>
      </c:lineChart>
      <c:catAx>
        <c:axId val="208357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77408"/>
        <c:crosses val="autoZero"/>
        <c:auto val="1"/>
        <c:lblAlgn val="ctr"/>
        <c:lblOffset val="100"/>
        <c:noMultiLvlLbl val="0"/>
      </c:catAx>
      <c:valAx>
        <c:axId val="20835774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7884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Liabilities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MAR'!$B$42:$F$42</c:f>
              <c:numCache>
                <c:formatCode>#,##0</c:formatCode>
                <c:ptCount val="5"/>
                <c:pt idx="0">
                  <c:v>49698939</c:v>
                </c:pt>
                <c:pt idx="1">
                  <c:v>56369691</c:v>
                </c:pt>
                <c:pt idx="2">
                  <c:v>61767101</c:v>
                </c:pt>
                <c:pt idx="3">
                  <c:v>66664897</c:v>
                </c:pt>
                <c:pt idx="4">
                  <c:v>67230651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1-4E09-AF34-E27A01D311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594877840"/>
        <c:axId val="594876400"/>
      </c:barChart>
      <c:catAx>
        <c:axId val="594877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76400"/>
        <c:crosses val="autoZero"/>
        <c:auto val="1"/>
        <c:lblAlgn val="ctr"/>
        <c:lblOffset val="100"/>
        <c:noMultiLvlLbl val="0"/>
      </c:catAx>
      <c:valAx>
        <c:axId val="594876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7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Shareholders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MAR'!$B$3:$F$3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MAR'!$B$51:$F$51</c:f>
              <c:numCache>
                <c:formatCode>#,##0_);[Red]\(#,##0\)</c:formatCode>
                <c:ptCount val="5"/>
                <c:pt idx="0">
                  <c:v>22931574</c:v>
                </c:pt>
                <c:pt idx="1">
                  <c:v>22215987</c:v>
                </c:pt>
                <c:pt idx="2">
                  <c:v>21918265</c:v>
                </c:pt>
                <c:pt idx="3">
                  <c:v>17518871</c:v>
                </c:pt>
                <c:pt idx="4">
                  <c:v>18870601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2-40F3-919C-4DF6EFD0A3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94875920"/>
        <c:axId val="594876880"/>
      </c:barChart>
      <c:catAx>
        <c:axId val="5948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76880"/>
        <c:crosses val="autoZero"/>
        <c:auto val="1"/>
        <c:lblAlgn val="ctr"/>
        <c:lblOffset val="100"/>
        <c:noMultiLvlLbl val="0"/>
      </c:catAx>
      <c:valAx>
        <c:axId val="5948768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crossAx val="59487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 interest earned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'JORDAN POULTRY PROCESSING &amp; MAR'!$B$112:$F$112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'JORDAN POULTRY PROCESSING &amp; MAR'!$B$114:$F$114</c:f>
              <c:numCache>
                <c:formatCode>General</c:formatCode>
                <c:ptCount val="5"/>
                <c:pt idx="0">
                  <c:v>2.4192986919091166</c:v>
                </c:pt>
                <c:pt idx="1">
                  <c:v>2.5151727217590092</c:v>
                </c:pt>
                <c:pt idx="2">
                  <c:v>3.9153102994566411</c:v>
                </c:pt>
                <c:pt idx="3">
                  <c:v>-19.186958065006845</c:v>
                </c:pt>
                <c:pt idx="4">
                  <c:v>12.125935335946336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0-490B-BDEA-1A1D60D594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6554575"/>
        <c:axId val="1446550255"/>
      </c:lineChart>
      <c:catAx>
        <c:axId val="144655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50255"/>
        <c:crosses val="autoZero"/>
        <c:auto val="1"/>
        <c:lblAlgn val="ctr"/>
        <c:lblOffset val="100"/>
        <c:noMultiLvlLbl val="0"/>
      </c:catAx>
      <c:valAx>
        <c:axId val="14465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5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108519</xdr:colOff>
      <xdr:row>121</xdr:row>
      <xdr:rowOff>49517</xdr:rowOff>
    </xdr:from>
    <xdr:to>
      <xdr:col>8</xdr:col>
      <xdr:colOff>1684712</xdr:colOff>
      <xdr:row>135</xdr:row>
      <xdr:rowOff>144726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7FA12C-7AFD-E9AC-1D0A-5B6C2AC8D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15301</xdr:colOff>
      <xdr:row>110</xdr:row>
      <xdr:rowOff>27637</xdr:rowOff>
    </xdr:from>
    <xdr:to>
      <xdr:col>8</xdr:col>
      <xdr:colOff>1443791</xdr:colOff>
      <xdr:row>121</xdr:row>
      <xdr:rowOff>108430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4810B8-2F28-BEC5-92E5-E6CFA25E4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4691722</xdr:colOff>
      <xdr:row>110</xdr:row>
      <xdr:rowOff>58063</xdr:rowOff>
    </xdr:from>
    <xdr:to>
      <xdr:col>11</xdr:col>
      <xdr:colOff>1630947</xdr:colOff>
      <xdr:row>120</xdr:row>
      <xdr:rowOff>195800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0219DE-38EB-79E1-8B18-A3DB9110B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3388950</xdr:colOff>
      <xdr:row>121</xdr:row>
      <xdr:rowOff>72131</xdr:rowOff>
    </xdr:from>
    <xdr:to>
      <xdr:col>10</xdr:col>
      <xdr:colOff>935790</xdr:colOff>
      <xdr:row>136</xdr:row>
      <xdr:rowOff>1213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265D86-EBBF-7AB2-815B-0D043A505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1497263</xdr:colOff>
      <xdr:row>109</xdr:row>
      <xdr:rowOff>171164</xdr:rowOff>
    </xdr:from>
    <xdr:to>
      <xdr:col>9</xdr:col>
      <xdr:colOff>4745789</xdr:colOff>
      <xdr:row>121</xdr:row>
      <xdr:rowOff>83862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FADE45-9432-8A14-F79A-A8D153CCF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1610028</xdr:colOff>
      <xdr:row>121</xdr:row>
      <xdr:rowOff>94231</xdr:rowOff>
    </xdr:from>
    <xdr:to>
      <xdr:col>9</xdr:col>
      <xdr:colOff>3583496</xdr:colOff>
      <xdr:row>135</xdr:row>
      <xdr:rowOff>174447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BC5A7C-AD75-8433-8659-027E88368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263943</xdr:colOff>
      <xdr:row>148</xdr:row>
      <xdr:rowOff>206076</xdr:rowOff>
    </xdr:from>
    <xdr:to>
      <xdr:col>9</xdr:col>
      <xdr:colOff>2361236</xdr:colOff>
      <xdr:row>157</xdr:row>
      <xdr:rowOff>191605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4AAD2E1-B2E8-A237-9BE0-88F87CE04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2377263</xdr:colOff>
      <xdr:row>89</xdr:row>
      <xdr:rowOff>30140</xdr:rowOff>
    </xdr:from>
    <xdr:to>
      <xdr:col>9</xdr:col>
      <xdr:colOff>6403252</xdr:colOff>
      <xdr:row>103</xdr:row>
      <xdr:rowOff>28210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1CDE5A1-3390-D90A-A8A8-11A758494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6396760</xdr:colOff>
      <xdr:row>89</xdr:row>
      <xdr:rowOff>48671</xdr:rowOff>
    </xdr:from>
    <xdr:to>
      <xdr:col>12</xdr:col>
      <xdr:colOff>360946</xdr:colOff>
      <xdr:row>103</xdr:row>
      <xdr:rowOff>52226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61255A-777F-05E1-8A58-C67A5E8BE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1483817</xdr:colOff>
      <xdr:row>89</xdr:row>
      <xdr:rowOff>27379</xdr:rowOff>
    </xdr:from>
    <xdr:to>
      <xdr:col>9</xdr:col>
      <xdr:colOff>2407664</xdr:colOff>
      <xdr:row>103</xdr:row>
      <xdr:rowOff>33404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789B411-991F-55A6-C85B-D5B654F17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934039</xdr:colOff>
      <xdr:row>121</xdr:row>
      <xdr:rowOff>80872</xdr:rowOff>
    </xdr:from>
    <xdr:to>
      <xdr:col>12</xdr:col>
      <xdr:colOff>1042736</xdr:colOff>
      <xdr:row>135</xdr:row>
      <xdr:rowOff>171715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5E9CE36-2DAA-2857-0883-116415968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1587653</xdr:colOff>
      <xdr:row>137</xdr:row>
      <xdr:rowOff>12135</xdr:rowOff>
    </xdr:from>
    <xdr:to>
      <xdr:col>11</xdr:col>
      <xdr:colOff>80210</xdr:colOff>
      <xdr:row>148</xdr:row>
      <xdr:rowOff>103524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78170BA-5859-4EC6-8203-627B41984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292782</xdr:colOff>
      <xdr:row>136</xdr:row>
      <xdr:rowOff>134607</xdr:rowOff>
    </xdr:from>
    <xdr:to>
      <xdr:col>9</xdr:col>
      <xdr:colOff>1644237</xdr:colOff>
      <xdr:row>148</xdr:row>
      <xdr:rowOff>17870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75631CA-4880-1FD5-850B-EEEA19790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62397</xdr:colOff>
      <xdr:row>10</xdr:row>
      <xdr:rowOff>38046</xdr:rowOff>
    </xdr:from>
    <xdr:to>
      <xdr:col>9</xdr:col>
      <xdr:colOff>2205789</xdr:colOff>
      <xdr:row>23</xdr:row>
      <xdr:rowOff>167099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E4B52-83F9-9924-F147-6867035B6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32627</xdr:colOff>
      <xdr:row>24</xdr:row>
      <xdr:rowOff>65607</xdr:rowOff>
    </xdr:from>
    <xdr:to>
      <xdr:col>9</xdr:col>
      <xdr:colOff>2072104</xdr:colOff>
      <xdr:row>37</xdr:row>
      <xdr:rowOff>163789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1A148-EB02-0186-B27D-B46A8654E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43136</xdr:colOff>
      <xdr:row>38</xdr:row>
      <xdr:rowOff>48690</xdr:rowOff>
    </xdr:from>
    <xdr:to>
      <xdr:col>9</xdr:col>
      <xdr:colOff>1163051</xdr:colOff>
      <xdr:row>52</xdr:row>
      <xdr:rowOff>29864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C3C332-2517-7DA9-7695-4700AED13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205074</xdr:colOff>
      <xdr:row>136</xdr:row>
      <xdr:rowOff>153848</xdr:rowOff>
    </xdr:from>
    <xdr:to>
      <xdr:col>12</xdr:col>
      <xdr:colOff>1616476</xdr:colOff>
      <xdr:row>147</xdr:row>
      <xdr:rowOff>639989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6BCC1FE-725D-622D-64D5-E4F4A951A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39EB-C981-4957-8DF5-A0BE50894E1C}">
  <dimension ref="A1:X337"/>
  <sheetViews>
    <sheetView tabSelected="1" topLeftCell="A51" zoomScale="57" workbookViewId="0">
      <selection activeCell="F72" sqref="B72:F72"/>
    </sheetView>
  </sheetViews>
  <sheetFormatPr defaultRowHeight="14.4" x14ac:dyDescent="0.3"/>
  <cols>
    <col min="1" max="1" width="50.44140625" customWidth="1"/>
    <col min="2" max="2" width="36" customWidth="1"/>
    <col min="3" max="3" width="42.33203125" customWidth="1"/>
    <col min="4" max="4" width="70.5546875" customWidth="1"/>
    <col min="5" max="5" width="21.6640625" customWidth="1"/>
    <col min="6" max="6" width="20.5546875" customWidth="1"/>
    <col min="7" max="7" width="49.109375" customWidth="1"/>
    <col min="8" max="8" width="37.21875" customWidth="1"/>
    <col min="9" max="9" width="27" customWidth="1"/>
    <col min="10" max="10" width="96.5546875" customWidth="1"/>
    <col min="11" max="11" width="27.5546875" customWidth="1"/>
    <col min="12" max="12" width="46" customWidth="1"/>
    <col min="13" max="13" width="46.109375" customWidth="1"/>
    <col min="14" max="14" width="21.33203125" customWidth="1"/>
    <col min="15" max="15" width="24" customWidth="1"/>
    <col min="16" max="16" width="22.6640625" customWidth="1"/>
    <col min="17" max="17" width="16" customWidth="1"/>
    <col min="18" max="18" width="23" customWidth="1"/>
    <col min="19" max="19" width="27.33203125" customWidth="1"/>
    <col min="20" max="20" width="17" customWidth="1"/>
    <col min="21" max="21" width="22.44140625" customWidth="1"/>
    <col min="22" max="22" width="19" customWidth="1"/>
    <col min="23" max="23" width="28.5546875" customWidth="1"/>
    <col min="24" max="24" width="37.21875" customWidth="1"/>
    <col min="25" max="25" width="12.109375" customWidth="1"/>
    <col min="26" max="26" width="22.88671875" customWidth="1"/>
    <col min="27" max="27" width="34.109375" customWidth="1"/>
  </cols>
  <sheetData>
    <row r="1" spans="1:10" ht="15.6" x14ac:dyDescent="0.3">
      <c r="A1" s="1" t="s">
        <v>192</v>
      </c>
      <c r="B1" s="1"/>
      <c r="C1" s="1"/>
      <c r="D1" s="1">
        <v>141002</v>
      </c>
      <c r="E1" s="42"/>
      <c r="F1" s="43"/>
      <c r="G1" s="26" t="s">
        <v>193</v>
      </c>
    </row>
    <row r="3" spans="1:10" ht="17.399999999999999" x14ac:dyDescent="0.3">
      <c r="A3" s="2" t="s">
        <v>194</v>
      </c>
      <c r="B3" s="3">
        <v>2017</v>
      </c>
      <c r="C3" s="3">
        <v>2018</v>
      </c>
      <c r="D3" s="3">
        <v>2019</v>
      </c>
      <c r="E3" s="3">
        <v>2020</v>
      </c>
      <c r="F3" s="3">
        <v>2021</v>
      </c>
      <c r="G3" s="27" t="s">
        <v>195</v>
      </c>
    </row>
    <row r="4" spans="1:10" ht="15.6" x14ac:dyDescent="0.3">
      <c r="A4" s="13" t="s">
        <v>196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 s="28" t="s">
        <v>197</v>
      </c>
    </row>
    <row r="5" spans="1:10" ht="15.6" x14ac:dyDescent="0.3">
      <c r="A5" s="14" t="s">
        <v>198</v>
      </c>
      <c r="B5" s="8">
        <v>0.9</v>
      </c>
      <c r="C5" s="8">
        <v>0.81</v>
      </c>
      <c r="D5" s="8">
        <v>0.76</v>
      </c>
      <c r="E5" s="8">
        <v>2.27</v>
      </c>
      <c r="F5" s="8">
        <v>3.3</v>
      </c>
      <c r="G5" s="29" t="s">
        <v>199</v>
      </c>
    </row>
    <row r="6" spans="1:10" ht="15.6" x14ac:dyDescent="0.3">
      <c r="A6" s="14" t="s">
        <v>1</v>
      </c>
      <c r="B6" s="4">
        <v>26718.38</v>
      </c>
      <c r="C6" s="4">
        <v>14332.55</v>
      </c>
      <c r="D6" s="4">
        <v>64940</v>
      </c>
      <c r="E6" s="8">
        <v>14248981.41</v>
      </c>
      <c r="F6" s="8">
        <v>38708718.649999999</v>
      </c>
      <c r="G6" s="29" t="s">
        <v>97</v>
      </c>
    </row>
    <row r="7" spans="1:10" ht="15.6" x14ac:dyDescent="0.3">
      <c r="A7" s="14" t="s">
        <v>2</v>
      </c>
      <c r="B7" s="4">
        <v>30557</v>
      </c>
      <c r="C7" s="4">
        <v>17442</v>
      </c>
      <c r="D7" s="4">
        <v>88221</v>
      </c>
      <c r="E7" s="8">
        <v>13269551</v>
      </c>
      <c r="F7" s="8">
        <v>9793069</v>
      </c>
      <c r="G7" s="29" t="s">
        <v>98</v>
      </c>
      <c r="I7" s="117"/>
      <c r="J7" s="117"/>
    </row>
    <row r="8" spans="1:10" ht="15.6" x14ac:dyDescent="0.3">
      <c r="A8" s="14" t="s">
        <v>3</v>
      </c>
      <c r="B8" s="4">
        <v>72</v>
      </c>
      <c r="C8" s="4">
        <v>22</v>
      </c>
      <c r="D8" s="4">
        <v>190</v>
      </c>
      <c r="E8" s="8">
        <v>3086</v>
      </c>
      <c r="F8" s="8">
        <v>3740</v>
      </c>
      <c r="G8" s="29" t="s">
        <v>99</v>
      </c>
      <c r="I8" s="117"/>
      <c r="J8" s="118"/>
    </row>
    <row r="9" spans="1:10" ht="15.6" x14ac:dyDescent="0.3">
      <c r="A9" s="14" t="s">
        <v>200</v>
      </c>
      <c r="B9" s="4">
        <v>23558305</v>
      </c>
      <c r="C9" s="4">
        <v>23558305</v>
      </c>
      <c r="D9" s="4">
        <v>23558305</v>
      </c>
      <c r="E9" s="4">
        <v>23558305</v>
      </c>
      <c r="F9" s="4">
        <v>23558305</v>
      </c>
      <c r="G9" s="29" t="s">
        <v>201</v>
      </c>
      <c r="I9" s="117"/>
      <c r="J9" s="117"/>
    </row>
    <row r="10" spans="1:10" ht="15.6" x14ac:dyDescent="0.3">
      <c r="A10" s="14" t="s">
        <v>4</v>
      </c>
      <c r="B10" s="4">
        <v>21202474.5</v>
      </c>
      <c r="C10" s="4">
        <v>19082227.050000001</v>
      </c>
      <c r="D10" s="4">
        <v>17904311.800000001</v>
      </c>
      <c r="E10" s="4">
        <v>53477352.350000001</v>
      </c>
      <c r="F10" s="4">
        <v>77742406.5</v>
      </c>
      <c r="G10" s="29" t="s">
        <v>100</v>
      </c>
      <c r="I10" s="117"/>
      <c r="J10" s="117"/>
    </row>
    <row r="11" spans="1:10" ht="15.6" x14ac:dyDescent="0.3">
      <c r="A11" s="15" t="s">
        <v>202</v>
      </c>
      <c r="B11" s="44">
        <v>43100</v>
      </c>
      <c r="C11" s="44">
        <v>43465</v>
      </c>
      <c r="D11" s="44">
        <v>43830</v>
      </c>
      <c r="E11" s="44">
        <v>44196</v>
      </c>
      <c r="F11" s="44">
        <v>44561</v>
      </c>
      <c r="G11" s="30" t="s">
        <v>203</v>
      </c>
      <c r="I11" s="117"/>
      <c r="J11" s="117"/>
    </row>
    <row r="12" spans="1:10" ht="15.6" x14ac:dyDescent="0.3">
      <c r="I12" s="118"/>
      <c r="J12" s="118"/>
    </row>
    <row r="13" spans="1:10" ht="15.6" x14ac:dyDescent="0.3">
      <c r="B13" s="102"/>
      <c r="C13" s="24"/>
      <c r="D13" s="11"/>
      <c r="G13" s="31"/>
      <c r="I13" s="117"/>
      <c r="J13" s="117"/>
    </row>
    <row r="14" spans="1:10" ht="17.399999999999999" x14ac:dyDescent="0.3">
      <c r="A14" s="2" t="s">
        <v>5</v>
      </c>
      <c r="B14" s="23"/>
      <c r="C14" s="23"/>
      <c r="D14" s="12"/>
      <c r="F14" s="2"/>
      <c r="G14" s="32" t="s">
        <v>101</v>
      </c>
    </row>
    <row r="15" spans="1:10" ht="15.6" x14ac:dyDescent="0.3">
      <c r="A15" s="13" t="s">
        <v>6</v>
      </c>
      <c r="B15" s="45">
        <v>149270</v>
      </c>
      <c r="C15" s="45">
        <v>228674</v>
      </c>
      <c r="D15" s="45">
        <v>274543</v>
      </c>
      <c r="E15" s="45">
        <v>223663</v>
      </c>
      <c r="F15" s="45">
        <v>188933</v>
      </c>
      <c r="G15" s="28" t="s">
        <v>102</v>
      </c>
    </row>
    <row r="16" spans="1:10" ht="15.6" x14ac:dyDescent="0.3">
      <c r="A16" s="14" t="s">
        <v>7</v>
      </c>
      <c r="B16" s="4">
        <v>9056785</v>
      </c>
      <c r="C16" s="4">
        <v>7073537</v>
      </c>
      <c r="D16" s="4">
        <v>5887320</v>
      </c>
      <c r="E16" s="4">
        <v>4890087</v>
      </c>
      <c r="F16" s="4">
        <v>4031689</v>
      </c>
      <c r="G16" s="33" t="s">
        <v>103</v>
      </c>
    </row>
    <row r="17" spans="1:7" ht="15.6" x14ac:dyDescent="0.3">
      <c r="A17" s="14" t="s">
        <v>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33" t="s">
        <v>104</v>
      </c>
    </row>
    <row r="18" spans="1:7" ht="15.6" x14ac:dyDescent="0.3">
      <c r="A18" s="14" t="s">
        <v>9</v>
      </c>
      <c r="B18" s="4">
        <v>2134715</v>
      </c>
      <c r="C18" s="4">
        <v>1912220</v>
      </c>
      <c r="D18" s="4">
        <v>2896800</v>
      </c>
      <c r="E18" s="4">
        <v>2122754</v>
      </c>
      <c r="F18" s="4">
        <v>849624</v>
      </c>
      <c r="G18" s="33" t="s">
        <v>105</v>
      </c>
    </row>
    <row r="19" spans="1:7" ht="15.6" x14ac:dyDescent="0.3">
      <c r="A19" s="16" t="s">
        <v>10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33" t="s">
        <v>106</v>
      </c>
    </row>
    <row r="20" spans="1:7" ht="15.6" x14ac:dyDescent="0.3">
      <c r="A20" s="16" t="s">
        <v>11</v>
      </c>
      <c r="B20" s="4">
        <v>3118817</v>
      </c>
      <c r="C20" s="4">
        <v>4164619</v>
      </c>
      <c r="D20" s="4">
        <v>3661003</v>
      </c>
      <c r="E20" s="4">
        <v>3938747</v>
      </c>
      <c r="F20" s="4">
        <v>4131251</v>
      </c>
      <c r="G20" s="33" t="s">
        <v>107</v>
      </c>
    </row>
    <row r="21" spans="1:7" ht="15.6" x14ac:dyDescent="0.3">
      <c r="A21" s="16" t="s">
        <v>12</v>
      </c>
      <c r="B21" s="4">
        <v>983937</v>
      </c>
      <c r="C21" s="4">
        <v>1157184</v>
      </c>
      <c r="D21" s="4">
        <v>1145025</v>
      </c>
      <c r="E21" s="4">
        <v>1178916</v>
      </c>
      <c r="F21" s="4">
        <v>2302098</v>
      </c>
      <c r="G21" s="33" t="s">
        <v>108</v>
      </c>
    </row>
    <row r="22" spans="1:7" ht="15.6" x14ac:dyDescent="0.3">
      <c r="A22" s="14" t="s">
        <v>13</v>
      </c>
      <c r="B22" s="4">
        <f>SUM(B15:B21)</f>
        <v>15443524</v>
      </c>
      <c r="C22" s="4">
        <f t="shared" ref="C22:F22" si="0">SUM(C15:C21)</f>
        <v>14536234</v>
      </c>
      <c r="D22" s="4">
        <f t="shared" si="0"/>
        <v>13864691</v>
      </c>
      <c r="E22" s="4">
        <f t="shared" si="0"/>
        <v>12354167</v>
      </c>
      <c r="F22" s="4">
        <f t="shared" si="0"/>
        <v>11503595</v>
      </c>
      <c r="G22" s="33" t="s">
        <v>109</v>
      </c>
    </row>
    <row r="23" spans="1:7" ht="15.6" x14ac:dyDescent="0.3">
      <c r="A23" s="14" t="s">
        <v>14</v>
      </c>
      <c r="B23" s="4">
        <v>0</v>
      </c>
      <c r="C23" s="4">
        <v>0</v>
      </c>
      <c r="D23" s="4">
        <v>0</v>
      </c>
      <c r="E23" s="4">
        <v>20000</v>
      </c>
      <c r="F23" s="4">
        <v>20000</v>
      </c>
      <c r="G23" s="33" t="s">
        <v>110</v>
      </c>
    </row>
    <row r="24" spans="1:7" ht="15.6" x14ac:dyDescent="0.3">
      <c r="A24" s="14" t="s">
        <v>15</v>
      </c>
      <c r="B24" s="4">
        <v>57186989</v>
      </c>
      <c r="C24" s="4">
        <v>63419776</v>
      </c>
      <c r="D24" s="4">
        <v>68951792</v>
      </c>
      <c r="E24" s="4">
        <v>71000521</v>
      </c>
      <c r="F24" s="4">
        <v>73813431</v>
      </c>
      <c r="G24" s="33" t="s">
        <v>111</v>
      </c>
    </row>
    <row r="25" spans="1:7" ht="15.6" x14ac:dyDescent="0.3">
      <c r="A25" s="14" t="s">
        <v>16</v>
      </c>
      <c r="B25" s="4">
        <v>0</v>
      </c>
      <c r="C25" s="4">
        <v>629668</v>
      </c>
      <c r="D25" s="4">
        <v>629668</v>
      </c>
      <c r="E25" s="4">
        <v>629668</v>
      </c>
      <c r="F25" s="4">
        <v>629668</v>
      </c>
      <c r="G25" s="33" t="s">
        <v>112</v>
      </c>
    </row>
    <row r="26" spans="1:7" ht="15.6" x14ac:dyDescent="0.3">
      <c r="A26" s="14" t="s">
        <v>17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33" t="s">
        <v>113</v>
      </c>
    </row>
    <row r="27" spans="1:7" ht="15.6" x14ac:dyDescent="0.3">
      <c r="A27" s="14" t="s">
        <v>18</v>
      </c>
      <c r="B27" s="4">
        <f>SUM(B23:B26)</f>
        <v>57186989</v>
      </c>
      <c r="C27" s="4">
        <f t="shared" ref="C27:F27" si="1">SUM(C23:C26)</f>
        <v>64049444</v>
      </c>
      <c r="D27" s="4">
        <f t="shared" si="1"/>
        <v>69581460</v>
      </c>
      <c r="E27" s="4">
        <f t="shared" si="1"/>
        <v>71650189</v>
      </c>
      <c r="F27" s="4">
        <f t="shared" si="1"/>
        <v>74463099</v>
      </c>
      <c r="G27" s="33" t="s">
        <v>114</v>
      </c>
    </row>
    <row r="28" spans="1:7" ht="15.6" x14ac:dyDescent="0.3">
      <c r="A28" s="14" t="s">
        <v>19</v>
      </c>
      <c r="B28" s="4">
        <v>0</v>
      </c>
      <c r="C28" s="4">
        <v>0</v>
      </c>
      <c r="D28" s="4">
        <v>239215</v>
      </c>
      <c r="E28" s="4">
        <v>179412</v>
      </c>
      <c r="F28" s="4">
        <v>134558</v>
      </c>
      <c r="G28" s="33" t="s">
        <v>115</v>
      </c>
    </row>
    <row r="29" spans="1:7" ht="15.6" x14ac:dyDescent="0.3">
      <c r="A29" s="17" t="s">
        <v>20</v>
      </c>
      <c r="B29" s="5">
        <f>SUM(B27:B28,B22)</f>
        <v>72630513</v>
      </c>
      <c r="C29" s="5">
        <f>SUM(C27:C28,C22)</f>
        <v>78585678</v>
      </c>
      <c r="D29" s="5">
        <f t="shared" ref="D29:F29" si="2">SUM(D27:D28,D22)</f>
        <v>83685366</v>
      </c>
      <c r="E29" s="5">
        <f t="shared" si="2"/>
        <v>84183768</v>
      </c>
      <c r="F29" s="5">
        <f t="shared" si="2"/>
        <v>86101252</v>
      </c>
      <c r="G29" s="34" t="s">
        <v>116</v>
      </c>
    </row>
    <row r="30" spans="1:7" ht="15.6" x14ac:dyDescent="0.3">
      <c r="B30">
        <v>100414723</v>
      </c>
      <c r="C30" s="5">
        <v>108404364</v>
      </c>
      <c r="D30" s="5">
        <v>99734102</v>
      </c>
      <c r="E30" s="5">
        <v>101601806</v>
      </c>
      <c r="F30" s="5">
        <v>99280594</v>
      </c>
      <c r="G30" s="43"/>
    </row>
    <row r="31" spans="1:7" ht="15.6" x14ac:dyDescent="0.3">
      <c r="B31" s="46"/>
      <c r="C31" s="46"/>
      <c r="D31" s="46"/>
      <c r="G31" s="43"/>
    </row>
    <row r="32" spans="1:7" ht="17.399999999999999" x14ac:dyDescent="0.3">
      <c r="A32" s="18" t="s">
        <v>21</v>
      </c>
      <c r="B32" s="47"/>
      <c r="C32" s="47"/>
      <c r="D32" s="47"/>
      <c r="E32" s="18"/>
      <c r="F32" s="18"/>
      <c r="G32" s="35" t="s">
        <v>117</v>
      </c>
    </row>
    <row r="33" spans="1:7" ht="17.399999999999999" x14ac:dyDescent="0.3">
      <c r="A33" s="2" t="s">
        <v>22</v>
      </c>
      <c r="B33" s="47"/>
      <c r="C33" s="47"/>
      <c r="D33" s="47"/>
      <c r="E33" s="2"/>
      <c r="F33" s="2"/>
      <c r="G33" s="32" t="s">
        <v>118</v>
      </c>
    </row>
    <row r="34" spans="1:7" ht="15.6" x14ac:dyDescent="0.3">
      <c r="A34" s="13" t="s">
        <v>23</v>
      </c>
      <c r="B34" s="45">
        <v>4950043</v>
      </c>
      <c r="C34" s="45">
        <v>6558090</v>
      </c>
      <c r="D34" s="45">
        <v>8450197</v>
      </c>
      <c r="E34" s="45">
        <v>14439892</v>
      </c>
      <c r="F34" s="45">
        <v>8056527</v>
      </c>
      <c r="G34" s="36" t="s">
        <v>119</v>
      </c>
    </row>
    <row r="35" spans="1:7" ht="15.6" x14ac:dyDescent="0.3">
      <c r="A35" s="14" t="s">
        <v>24</v>
      </c>
      <c r="B35" s="4">
        <v>3547736</v>
      </c>
      <c r="C35" s="4">
        <v>3654761</v>
      </c>
      <c r="D35" s="4">
        <v>3220452</v>
      </c>
      <c r="E35" s="4">
        <v>3721546</v>
      </c>
      <c r="F35" s="4">
        <v>2323687</v>
      </c>
      <c r="G35" s="33" t="s">
        <v>120</v>
      </c>
    </row>
    <row r="36" spans="1:7" ht="15.6" x14ac:dyDescent="0.3">
      <c r="A36" s="14" t="s">
        <v>25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33" t="s">
        <v>121</v>
      </c>
    </row>
    <row r="37" spans="1:7" ht="15.6" x14ac:dyDescent="0.3">
      <c r="A37" s="14" t="s">
        <v>26</v>
      </c>
      <c r="B37" s="4">
        <v>5705414</v>
      </c>
      <c r="C37" s="4">
        <v>2798602</v>
      </c>
      <c r="D37" s="4">
        <v>4776000</v>
      </c>
      <c r="E37" s="4">
        <v>396891</v>
      </c>
      <c r="F37" s="4">
        <v>1610361</v>
      </c>
      <c r="G37" s="33" t="s">
        <v>122</v>
      </c>
    </row>
    <row r="38" spans="1:7" ht="15.6" x14ac:dyDescent="0.3">
      <c r="A38" s="14" t="s">
        <v>27</v>
      </c>
      <c r="B38" s="4">
        <f>SUM(B34:B37)</f>
        <v>14203193</v>
      </c>
      <c r="C38" s="4">
        <f>SUM(C34:C37)</f>
        <v>13011453</v>
      </c>
      <c r="D38" s="4">
        <f t="shared" ref="D38:F38" si="3">SUM(D34:D37)</f>
        <v>16446649</v>
      </c>
      <c r="E38" s="4">
        <f t="shared" si="3"/>
        <v>18558329</v>
      </c>
      <c r="F38" s="4">
        <f t="shared" si="3"/>
        <v>11990575</v>
      </c>
      <c r="G38" s="33" t="s">
        <v>123</v>
      </c>
    </row>
    <row r="39" spans="1:7" ht="15.6" x14ac:dyDescent="0.3">
      <c r="A39" s="14" t="s">
        <v>28</v>
      </c>
      <c r="B39" s="4">
        <v>3467725</v>
      </c>
      <c r="C39" s="4">
        <v>15533473</v>
      </c>
      <c r="D39" s="4">
        <v>12880175</v>
      </c>
      <c r="E39" s="4">
        <v>14181491</v>
      </c>
      <c r="F39" s="4">
        <v>17308624</v>
      </c>
      <c r="G39" s="33" t="s">
        <v>124</v>
      </c>
    </row>
    <row r="40" spans="1:7" ht="15.6" x14ac:dyDescent="0.3">
      <c r="A40" s="14" t="s">
        <v>29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33" t="s">
        <v>125</v>
      </c>
    </row>
    <row r="41" spans="1:7" ht="15.6" x14ac:dyDescent="0.3">
      <c r="A41" s="14" t="s">
        <v>30</v>
      </c>
      <c r="B41" s="4">
        <v>32028021</v>
      </c>
      <c r="C41" s="4">
        <v>27824765</v>
      </c>
      <c r="D41" s="4">
        <v>32440277</v>
      </c>
      <c r="E41" s="4">
        <v>33925077</v>
      </c>
      <c r="F41" s="4">
        <v>37931452</v>
      </c>
      <c r="G41" s="33" t="s">
        <v>126</v>
      </c>
    </row>
    <row r="42" spans="1:7" ht="15.6" x14ac:dyDescent="0.3">
      <c r="A42" s="17" t="s">
        <v>31</v>
      </c>
      <c r="B42" s="5">
        <f>SUM(B38:B41)</f>
        <v>49698939</v>
      </c>
      <c r="C42" s="5">
        <f t="shared" ref="C42:F42" si="4">SUM(C38:C41)</f>
        <v>56369691</v>
      </c>
      <c r="D42" s="5">
        <f t="shared" si="4"/>
        <v>61767101</v>
      </c>
      <c r="E42" s="5">
        <f t="shared" si="4"/>
        <v>66664897</v>
      </c>
      <c r="F42" s="5">
        <f t="shared" si="4"/>
        <v>67230651</v>
      </c>
      <c r="G42" s="34" t="s">
        <v>127</v>
      </c>
    </row>
    <row r="44" spans="1:7" ht="17.399999999999999" x14ac:dyDescent="0.3">
      <c r="A44" s="2" t="s">
        <v>32</v>
      </c>
      <c r="B44" s="47"/>
      <c r="C44" s="47"/>
      <c r="D44" s="47"/>
      <c r="E44" s="2"/>
      <c r="F44" s="2"/>
      <c r="G44" s="32" t="s">
        <v>128</v>
      </c>
    </row>
    <row r="45" spans="1:7" ht="15.6" x14ac:dyDescent="0.3">
      <c r="A45" s="13" t="s">
        <v>33</v>
      </c>
      <c r="B45" s="48">
        <v>23558305</v>
      </c>
      <c r="C45" s="48">
        <v>23558305</v>
      </c>
      <c r="D45" s="48">
        <v>23558305</v>
      </c>
      <c r="E45" s="48">
        <v>23558305</v>
      </c>
      <c r="F45" s="48">
        <v>23558305</v>
      </c>
      <c r="G45" s="36" t="s">
        <v>129</v>
      </c>
    </row>
    <row r="46" spans="1:7" ht="15.6" x14ac:dyDescent="0.3">
      <c r="A46" s="14" t="s">
        <v>34</v>
      </c>
      <c r="B46" s="49">
        <v>23558305</v>
      </c>
      <c r="C46" s="49">
        <v>23558305</v>
      </c>
      <c r="D46" s="49">
        <v>23558305</v>
      </c>
      <c r="E46" s="49">
        <v>23558305</v>
      </c>
      <c r="F46" s="49">
        <v>23558305</v>
      </c>
      <c r="G46" s="33" t="s">
        <v>130</v>
      </c>
    </row>
    <row r="47" spans="1:7" ht="15.6" x14ac:dyDescent="0.3">
      <c r="A47" s="14" t="s">
        <v>35</v>
      </c>
      <c r="B47" s="49">
        <v>23558305</v>
      </c>
      <c r="C47" s="49">
        <v>23558305</v>
      </c>
      <c r="D47" s="49">
        <v>23558305</v>
      </c>
      <c r="E47" s="49">
        <v>23558305</v>
      </c>
      <c r="F47" s="49">
        <v>23558305</v>
      </c>
      <c r="G47" s="33" t="s">
        <v>131</v>
      </c>
    </row>
    <row r="48" spans="1:7" ht="13.2" customHeight="1" x14ac:dyDescent="0.3">
      <c r="A48" s="14" t="s">
        <v>36</v>
      </c>
      <c r="B48" s="49">
        <v>302052</v>
      </c>
      <c r="C48" s="49">
        <v>324786</v>
      </c>
      <c r="D48" s="49">
        <v>372645</v>
      </c>
      <c r="E48" s="49">
        <v>372645</v>
      </c>
      <c r="F48" s="49">
        <v>588095</v>
      </c>
      <c r="G48" s="33" t="s">
        <v>132</v>
      </c>
    </row>
    <row r="49" spans="1:13" ht="15.6" x14ac:dyDescent="0.3">
      <c r="A49" s="14" t="s">
        <v>38</v>
      </c>
      <c r="B49" s="49">
        <v>0</v>
      </c>
      <c r="C49" s="49">
        <v>0</v>
      </c>
      <c r="D49" s="49">
        <v>0</v>
      </c>
      <c r="E49" s="49">
        <v>0</v>
      </c>
      <c r="F49" s="49">
        <v>0</v>
      </c>
      <c r="G49" s="33" t="s">
        <v>134</v>
      </c>
    </row>
    <row r="50" spans="1:13" ht="15.6" x14ac:dyDescent="0.3">
      <c r="A50" s="14" t="s">
        <v>45</v>
      </c>
      <c r="B50" s="49">
        <v>-902478</v>
      </c>
      <c r="C50" s="49">
        <v>-1377023</v>
      </c>
      <c r="D50" s="49">
        <v>-946293</v>
      </c>
      <c r="E50" s="49">
        <v>-4529256</v>
      </c>
      <c r="F50" s="49">
        <v>-2590202</v>
      </c>
      <c r="G50" s="33" t="s">
        <v>204</v>
      </c>
    </row>
    <row r="51" spans="1:13" ht="15.6" x14ac:dyDescent="0.3">
      <c r="A51" s="14" t="s">
        <v>46</v>
      </c>
      <c r="B51" s="49">
        <f>B29-B42</f>
        <v>22931574</v>
      </c>
      <c r="C51" s="49">
        <f>C29-C42</f>
        <v>22215987</v>
      </c>
      <c r="D51" s="49">
        <f t="shared" ref="D51:F51" si="5">D29-D42</f>
        <v>21918265</v>
      </c>
      <c r="E51" s="49">
        <f t="shared" si="5"/>
        <v>17518871</v>
      </c>
      <c r="F51" s="49">
        <f t="shared" si="5"/>
        <v>18870601</v>
      </c>
      <c r="G51" s="33" t="s">
        <v>141</v>
      </c>
    </row>
    <row r="52" spans="1:13" ht="15.6" x14ac:dyDescent="0.3">
      <c r="A52" s="15" t="s">
        <v>48</v>
      </c>
      <c r="B52" s="50">
        <f>B51+B42</f>
        <v>72630513</v>
      </c>
      <c r="C52" s="50">
        <f>C51+C42</f>
        <v>78585678</v>
      </c>
      <c r="D52" s="50">
        <f t="shared" ref="D52:F52" si="6">D51+D42</f>
        <v>83685366</v>
      </c>
      <c r="E52" s="50">
        <f t="shared" si="6"/>
        <v>84183768</v>
      </c>
      <c r="F52" s="50">
        <f t="shared" si="6"/>
        <v>86101252</v>
      </c>
      <c r="G52" s="39" t="s">
        <v>143</v>
      </c>
    </row>
    <row r="53" spans="1:13" ht="15.6" x14ac:dyDescent="0.3">
      <c r="A53" s="6"/>
      <c r="B53" s="46"/>
      <c r="C53" s="46"/>
      <c r="D53" s="46"/>
      <c r="E53" s="6"/>
      <c r="F53" s="6"/>
      <c r="G53" s="31"/>
    </row>
    <row r="54" spans="1:13" ht="15.6" x14ac:dyDescent="0.3">
      <c r="A54" s="6"/>
      <c r="B54" s="46"/>
      <c r="C54" s="46"/>
      <c r="D54" s="47"/>
      <c r="E54" s="47"/>
      <c r="F54" s="47"/>
      <c r="G54" s="47"/>
      <c r="H54" s="47"/>
    </row>
    <row r="55" spans="1:13" ht="17.399999999999999" x14ac:dyDescent="0.3">
      <c r="A55" s="93" t="s">
        <v>49</v>
      </c>
      <c r="B55" s="94">
        <v>2017</v>
      </c>
      <c r="C55" s="94">
        <v>2018</v>
      </c>
      <c r="D55" s="94">
        <v>2019</v>
      </c>
      <c r="E55" s="94">
        <v>2020</v>
      </c>
      <c r="F55" s="94">
        <v>2021</v>
      </c>
      <c r="G55" s="32" t="s">
        <v>144</v>
      </c>
    </row>
    <row r="56" spans="1:13" ht="15.6" x14ac:dyDescent="0.3">
      <c r="A56" s="95" t="s">
        <v>50</v>
      </c>
      <c r="B56" s="48">
        <v>36041733</v>
      </c>
      <c r="C56" s="48">
        <v>67728826</v>
      </c>
      <c r="D56" s="48">
        <v>41538969</v>
      </c>
      <c r="E56" s="48">
        <v>34481124</v>
      </c>
      <c r="F56" s="48">
        <v>41111619</v>
      </c>
      <c r="G56" s="36" t="s">
        <v>145</v>
      </c>
      <c r="H56" s="90"/>
      <c r="I56" s="91">
        <v>2017</v>
      </c>
      <c r="J56" s="91">
        <v>2018</v>
      </c>
      <c r="K56" s="91">
        <v>2019</v>
      </c>
      <c r="L56" s="91">
        <v>2020</v>
      </c>
      <c r="M56" s="91">
        <v>2021</v>
      </c>
    </row>
    <row r="57" spans="1:13" ht="15.6" x14ac:dyDescent="0.3">
      <c r="A57" s="96" t="s">
        <v>51</v>
      </c>
      <c r="B57" s="49">
        <v>37287168</v>
      </c>
      <c r="C57" s="49">
        <v>64094326</v>
      </c>
      <c r="D57" s="49">
        <v>37274428</v>
      </c>
      <c r="E57" s="49">
        <v>34443873</v>
      </c>
      <c r="F57" s="49">
        <v>34758222</v>
      </c>
      <c r="G57" s="33" t="s">
        <v>146</v>
      </c>
      <c r="H57" s="90" t="s">
        <v>13</v>
      </c>
      <c r="I57">
        <v>15443524</v>
      </c>
      <c r="J57">
        <v>14536234</v>
      </c>
      <c r="K57">
        <v>13864691</v>
      </c>
      <c r="L57">
        <v>12354167</v>
      </c>
      <c r="M57">
        <v>11503595</v>
      </c>
    </row>
    <row r="58" spans="1:13" ht="15.6" x14ac:dyDescent="0.3">
      <c r="A58" s="96" t="s">
        <v>52</v>
      </c>
      <c r="B58" s="49">
        <f>-B57+B56</f>
        <v>-1245435</v>
      </c>
      <c r="C58" s="49">
        <f>-C57+C56</f>
        <v>3634500</v>
      </c>
      <c r="D58" s="49">
        <f>-D57+D56</f>
        <v>4264541</v>
      </c>
      <c r="E58" s="49">
        <f>-E57+E56</f>
        <v>37251</v>
      </c>
      <c r="F58" s="49">
        <f>-F57+F56</f>
        <v>6353397</v>
      </c>
      <c r="G58" s="33" t="s">
        <v>147</v>
      </c>
      <c r="H58" s="90" t="s">
        <v>18</v>
      </c>
      <c r="I58">
        <v>57186989</v>
      </c>
      <c r="J58">
        <v>64049444</v>
      </c>
      <c r="K58">
        <v>69581460</v>
      </c>
      <c r="L58">
        <v>71650189</v>
      </c>
      <c r="M58">
        <v>74463099</v>
      </c>
    </row>
    <row r="59" spans="1:13" ht="15.6" x14ac:dyDescent="0.3">
      <c r="A59" s="96" t="s">
        <v>53</v>
      </c>
      <c r="B59" s="49">
        <v>826071</v>
      </c>
      <c r="C59" s="49">
        <v>612041</v>
      </c>
      <c r="D59" s="49">
        <v>863426</v>
      </c>
      <c r="E59" s="49">
        <v>975437</v>
      </c>
      <c r="F59" s="49">
        <v>1088294</v>
      </c>
      <c r="G59" s="33" t="s">
        <v>148</v>
      </c>
      <c r="H59" s="90" t="s">
        <v>20</v>
      </c>
      <c r="I59">
        <v>72630513</v>
      </c>
      <c r="J59">
        <v>78585678</v>
      </c>
      <c r="K59">
        <v>83685366</v>
      </c>
      <c r="L59">
        <v>84183768</v>
      </c>
      <c r="M59">
        <v>86101252</v>
      </c>
    </row>
    <row r="60" spans="1:13" ht="15.6" x14ac:dyDescent="0.3">
      <c r="A60" s="96" t="s">
        <v>54</v>
      </c>
      <c r="B60" s="49">
        <v>2221894</v>
      </c>
      <c r="C60" s="49">
        <v>2569581</v>
      </c>
      <c r="D60" s="49">
        <v>2779054</v>
      </c>
      <c r="E60" s="49">
        <v>2565528</v>
      </c>
      <c r="F60" s="49">
        <v>2940865</v>
      </c>
      <c r="G60" s="33" t="s">
        <v>149</v>
      </c>
      <c r="H60" s="90" t="s">
        <v>27</v>
      </c>
      <c r="I60">
        <v>14203193</v>
      </c>
      <c r="J60">
        <v>13011453</v>
      </c>
      <c r="K60">
        <v>16446649</v>
      </c>
      <c r="L60">
        <v>18558329</v>
      </c>
      <c r="M60">
        <v>11990575</v>
      </c>
    </row>
    <row r="61" spans="1:13" ht="15.6" x14ac:dyDescent="0.3">
      <c r="A61" s="96" t="s">
        <v>55</v>
      </c>
      <c r="B61" s="49">
        <v>1437574</v>
      </c>
      <c r="C61" s="49">
        <v>1577069</v>
      </c>
      <c r="D61" s="49">
        <v>1776970</v>
      </c>
      <c r="E61" s="49">
        <v>1883984</v>
      </c>
      <c r="F61" s="49">
        <v>2188843</v>
      </c>
      <c r="G61" s="33" t="s">
        <v>150</v>
      </c>
      <c r="H61" s="90" t="s">
        <v>30</v>
      </c>
      <c r="I61">
        <v>32028021</v>
      </c>
      <c r="J61">
        <v>27824765</v>
      </c>
      <c r="K61">
        <v>32440277</v>
      </c>
      <c r="L61">
        <v>33925077</v>
      </c>
      <c r="M61">
        <v>37931452</v>
      </c>
    </row>
    <row r="62" spans="1:13" ht="15.6" x14ac:dyDescent="0.3">
      <c r="A62" s="96" t="s">
        <v>56</v>
      </c>
      <c r="B62" s="49">
        <v>12000</v>
      </c>
      <c r="C62" s="49">
        <v>100465</v>
      </c>
      <c r="D62" s="49">
        <v>0</v>
      </c>
      <c r="E62" s="49">
        <v>0</v>
      </c>
      <c r="F62" s="49">
        <v>184759</v>
      </c>
      <c r="G62" s="33" t="s">
        <v>151</v>
      </c>
      <c r="H62" s="90" t="s">
        <v>31</v>
      </c>
      <c r="I62">
        <v>49698939</v>
      </c>
      <c r="J62">
        <v>56369691</v>
      </c>
      <c r="K62">
        <v>61767101</v>
      </c>
      <c r="L62">
        <v>66664897</v>
      </c>
      <c r="M62">
        <v>67230651</v>
      </c>
    </row>
    <row r="63" spans="1:13" ht="15.6" x14ac:dyDescent="0.3">
      <c r="A63" s="96" t="s">
        <v>57</v>
      </c>
      <c r="B63" s="49">
        <v>-4305400</v>
      </c>
      <c r="C63" s="49">
        <v>352413</v>
      </c>
      <c r="D63" s="49">
        <v>622061</v>
      </c>
      <c r="E63" s="49">
        <v>-3503714</v>
      </c>
      <c r="F63" s="49">
        <v>2139479</v>
      </c>
      <c r="G63" s="33" t="s">
        <v>152</v>
      </c>
      <c r="H63" s="90" t="s">
        <v>46</v>
      </c>
      <c r="I63">
        <v>22931574</v>
      </c>
      <c r="J63">
        <v>22215987</v>
      </c>
      <c r="K63">
        <v>21918265</v>
      </c>
      <c r="L63">
        <v>17518871</v>
      </c>
      <c r="M63">
        <v>18870601</v>
      </c>
    </row>
    <row r="64" spans="1:13" ht="15.6" x14ac:dyDescent="0.3">
      <c r="A64" s="96" t="s">
        <v>58</v>
      </c>
      <c r="B64" s="49">
        <v>4666790</v>
      </c>
      <c r="C64" s="49">
        <v>24961</v>
      </c>
      <c r="D64" s="49">
        <v>20692</v>
      </c>
      <c r="E64" s="49">
        <v>98240</v>
      </c>
      <c r="F64" s="49">
        <v>208672</v>
      </c>
      <c r="G64" s="33" t="s">
        <v>153</v>
      </c>
    </row>
    <row r="65" spans="1:24" ht="15.6" x14ac:dyDescent="0.3">
      <c r="A65" s="96" t="s">
        <v>59</v>
      </c>
      <c r="B65" s="49">
        <v>0</v>
      </c>
      <c r="C65" s="49">
        <v>0</v>
      </c>
      <c r="D65" s="49">
        <v>0</v>
      </c>
      <c r="E65" s="49">
        <v>0</v>
      </c>
      <c r="F65" s="49">
        <v>0</v>
      </c>
      <c r="G65" s="33" t="s">
        <v>154</v>
      </c>
    </row>
    <row r="66" spans="1:24" ht="15.6" x14ac:dyDescent="0.3">
      <c r="A66" s="96" t="s">
        <v>60</v>
      </c>
      <c r="B66" s="49">
        <v>361390</v>
      </c>
      <c r="C66" s="49">
        <v>377374</v>
      </c>
      <c r="D66" s="49">
        <v>642753</v>
      </c>
      <c r="E66" s="49">
        <v>-3405474</v>
      </c>
      <c r="F66" s="49">
        <v>2348151</v>
      </c>
      <c r="G66" s="33" t="s">
        <v>155</v>
      </c>
    </row>
    <row r="67" spans="1:24" ht="15.6" x14ac:dyDescent="0.3">
      <c r="A67" s="96" t="s">
        <v>61</v>
      </c>
      <c r="B67" s="49">
        <v>149378</v>
      </c>
      <c r="C67" s="49">
        <v>150039</v>
      </c>
      <c r="D67" s="49">
        <v>164164</v>
      </c>
      <c r="E67" s="49">
        <v>177489</v>
      </c>
      <c r="F67" s="49">
        <v>193647</v>
      </c>
      <c r="G67" s="33" t="s">
        <v>156</v>
      </c>
    </row>
    <row r="68" spans="1:24" ht="15.6" x14ac:dyDescent="0.3">
      <c r="A68" s="96" t="s">
        <v>62</v>
      </c>
      <c r="B68" s="49">
        <f>B66-B67</f>
        <v>212012</v>
      </c>
      <c r="C68" s="49">
        <f>C66-C67</f>
        <v>227335</v>
      </c>
      <c r="D68" s="49">
        <f t="shared" ref="D68:F68" si="7">D66-D67</f>
        <v>478589</v>
      </c>
      <c r="E68" s="49">
        <f t="shared" si="7"/>
        <v>-3582963</v>
      </c>
      <c r="F68" s="49">
        <f t="shared" si="7"/>
        <v>2154504</v>
      </c>
      <c r="G68" s="33" t="s">
        <v>157</v>
      </c>
    </row>
    <row r="69" spans="1:24" ht="15.6" x14ac:dyDescent="0.3">
      <c r="A69" s="96" t="s">
        <v>63</v>
      </c>
      <c r="B69" s="49">
        <v>0</v>
      </c>
      <c r="C69" s="49">
        <v>0</v>
      </c>
      <c r="D69" s="49">
        <v>0</v>
      </c>
      <c r="E69" s="49">
        <v>0</v>
      </c>
      <c r="F69" s="49">
        <v>0</v>
      </c>
      <c r="G69" s="33" t="s">
        <v>158</v>
      </c>
      <c r="H69" s="90"/>
      <c r="I69" s="90" t="s">
        <v>13</v>
      </c>
      <c r="J69" s="90" t="s">
        <v>18</v>
      </c>
      <c r="K69" s="90" t="s">
        <v>20</v>
      </c>
      <c r="L69" s="90" t="s">
        <v>27</v>
      </c>
      <c r="M69" s="90" t="s">
        <v>30</v>
      </c>
      <c r="N69" s="90" t="s">
        <v>31</v>
      </c>
      <c r="O69" s="90" t="s">
        <v>46</v>
      </c>
    </row>
    <row r="70" spans="1:24" ht="15.6" x14ac:dyDescent="0.3">
      <c r="A70" s="96" t="s">
        <v>205</v>
      </c>
      <c r="B70" s="49">
        <v>0</v>
      </c>
      <c r="C70" s="49">
        <v>0</v>
      </c>
      <c r="D70" s="49">
        <v>0</v>
      </c>
      <c r="E70" s="49">
        <v>0</v>
      </c>
      <c r="F70" s="49">
        <v>0</v>
      </c>
      <c r="G70" s="33" t="s">
        <v>159</v>
      </c>
      <c r="H70" s="92">
        <v>2017</v>
      </c>
      <c r="I70">
        <v>15443524</v>
      </c>
      <c r="J70">
        <v>57186989</v>
      </c>
      <c r="K70">
        <v>72630513</v>
      </c>
      <c r="L70">
        <v>14203193</v>
      </c>
      <c r="M70">
        <v>32028021</v>
      </c>
      <c r="N70">
        <v>49698939</v>
      </c>
      <c r="O70">
        <v>22931574</v>
      </c>
    </row>
    <row r="71" spans="1:24" ht="15.6" x14ac:dyDescent="0.3">
      <c r="A71" s="96" t="s">
        <v>65</v>
      </c>
      <c r="B71" s="49">
        <v>0</v>
      </c>
      <c r="C71" s="49">
        <v>0</v>
      </c>
      <c r="D71" s="49">
        <v>0</v>
      </c>
      <c r="E71" s="49">
        <v>0</v>
      </c>
      <c r="F71" s="49">
        <v>0</v>
      </c>
      <c r="G71" s="33" t="s">
        <v>161</v>
      </c>
      <c r="H71" s="92">
        <v>2018</v>
      </c>
      <c r="I71">
        <v>14536234</v>
      </c>
      <c r="J71">
        <v>64049444</v>
      </c>
      <c r="K71">
        <v>78585678</v>
      </c>
      <c r="L71">
        <v>13011453</v>
      </c>
      <c r="M71">
        <v>27824765</v>
      </c>
      <c r="N71">
        <v>56369691</v>
      </c>
      <c r="O71">
        <v>22215987</v>
      </c>
    </row>
    <row r="72" spans="1:24" ht="15.6" x14ac:dyDescent="0.3">
      <c r="A72" s="96" t="s">
        <v>66</v>
      </c>
      <c r="B72" s="49">
        <v>212012</v>
      </c>
      <c r="C72" s="49">
        <v>227335</v>
      </c>
      <c r="D72" s="49">
        <v>478589</v>
      </c>
      <c r="E72" s="49">
        <v>-3582963</v>
      </c>
      <c r="F72" s="49">
        <v>2154504</v>
      </c>
      <c r="G72" s="33" t="s">
        <v>162</v>
      </c>
      <c r="H72" s="92">
        <v>2019</v>
      </c>
      <c r="I72">
        <v>13864691</v>
      </c>
      <c r="J72">
        <v>69581460</v>
      </c>
      <c r="K72">
        <v>83685366</v>
      </c>
      <c r="L72">
        <v>16446649</v>
      </c>
      <c r="M72">
        <v>32440277</v>
      </c>
      <c r="N72">
        <v>61767101</v>
      </c>
      <c r="O72">
        <v>21918265</v>
      </c>
    </row>
    <row r="73" spans="1:24" ht="15.6" x14ac:dyDescent="0.3">
      <c r="A73" s="96" t="s">
        <v>47</v>
      </c>
      <c r="B73" s="49">
        <v>0</v>
      </c>
      <c r="C73" s="49">
        <v>0</v>
      </c>
      <c r="D73" s="49">
        <v>0</v>
      </c>
      <c r="E73" s="49">
        <v>0</v>
      </c>
      <c r="F73" s="49">
        <v>0</v>
      </c>
      <c r="G73" s="33" t="s">
        <v>142</v>
      </c>
      <c r="H73" s="92">
        <v>2020</v>
      </c>
      <c r="I73">
        <v>12354167</v>
      </c>
      <c r="J73">
        <v>71650189</v>
      </c>
      <c r="K73">
        <v>84183768</v>
      </c>
      <c r="L73">
        <v>18558329</v>
      </c>
      <c r="M73">
        <v>33925077</v>
      </c>
      <c r="N73">
        <v>66664897</v>
      </c>
      <c r="O73">
        <v>17518871</v>
      </c>
    </row>
    <row r="74" spans="1:24" ht="15.6" x14ac:dyDescent="0.3">
      <c r="A74" s="97" t="s">
        <v>67</v>
      </c>
      <c r="B74" s="50">
        <v>212012</v>
      </c>
      <c r="C74" s="50">
        <v>227335</v>
      </c>
      <c r="D74" s="50">
        <v>478589</v>
      </c>
      <c r="E74" s="50">
        <v>-3582963</v>
      </c>
      <c r="F74" s="50">
        <v>2154504</v>
      </c>
      <c r="G74" s="39" t="s">
        <v>163</v>
      </c>
      <c r="H74" s="92">
        <v>2021</v>
      </c>
      <c r="I74">
        <v>11503595</v>
      </c>
      <c r="J74">
        <v>74463099</v>
      </c>
      <c r="K74">
        <v>86101252</v>
      </c>
      <c r="L74">
        <v>11990575</v>
      </c>
      <c r="M74">
        <v>37931452</v>
      </c>
      <c r="N74">
        <v>67230651</v>
      </c>
      <c r="O74">
        <v>18870601</v>
      </c>
    </row>
    <row r="75" spans="1:24" ht="15.6" x14ac:dyDescent="0.3">
      <c r="A75" s="14" t="s">
        <v>66</v>
      </c>
      <c r="B75" s="49">
        <v>913324</v>
      </c>
      <c r="C75" s="49">
        <v>8534715</v>
      </c>
      <c r="D75" s="49">
        <v>-7500370</v>
      </c>
      <c r="E75" s="49">
        <v>-6043251</v>
      </c>
      <c r="F75" s="49">
        <v>-9663763</v>
      </c>
    </row>
    <row r="76" spans="1:24" ht="15" x14ac:dyDescent="0.3">
      <c r="A76" s="31"/>
    </row>
    <row r="77" spans="1:24" ht="17.399999999999999" x14ac:dyDescent="0.3">
      <c r="A77" s="93" t="s">
        <v>68</v>
      </c>
      <c r="B77" s="94">
        <v>2017</v>
      </c>
      <c r="C77" s="94">
        <v>2018</v>
      </c>
      <c r="D77" s="94">
        <v>2019</v>
      </c>
      <c r="E77" s="94">
        <v>2020</v>
      </c>
      <c r="F77" s="94">
        <v>2021</v>
      </c>
      <c r="G77" s="32" t="s">
        <v>164</v>
      </c>
      <c r="H77" s="90"/>
      <c r="I77" s="95" t="s">
        <v>50</v>
      </c>
      <c r="J77" s="96" t="s">
        <v>51</v>
      </c>
      <c r="K77" s="96" t="s">
        <v>52</v>
      </c>
      <c r="L77" s="96" t="s">
        <v>53</v>
      </c>
      <c r="M77" s="96" t="s">
        <v>54</v>
      </c>
      <c r="N77" s="96" t="s">
        <v>55</v>
      </c>
      <c r="O77" s="96" t="s">
        <v>56</v>
      </c>
      <c r="P77" s="96" t="s">
        <v>57</v>
      </c>
      <c r="Q77" s="96" t="s">
        <v>58</v>
      </c>
      <c r="R77" s="96" t="s">
        <v>60</v>
      </c>
      <c r="S77" s="96" t="s">
        <v>61</v>
      </c>
      <c r="T77" s="96" t="s">
        <v>62</v>
      </c>
      <c r="U77" s="96" t="s">
        <v>63</v>
      </c>
      <c r="V77" s="96" t="s">
        <v>205</v>
      </c>
      <c r="W77" s="96" t="s">
        <v>66</v>
      </c>
      <c r="X77" s="97" t="s">
        <v>67</v>
      </c>
    </row>
    <row r="78" spans="1:24" ht="15.6" x14ac:dyDescent="0.3">
      <c r="A78" s="95" t="s">
        <v>69</v>
      </c>
      <c r="B78" s="48">
        <v>57520</v>
      </c>
      <c r="C78" s="48">
        <v>149270</v>
      </c>
      <c r="D78" s="48">
        <v>228674</v>
      </c>
      <c r="E78" s="48">
        <v>274543</v>
      </c>
      <c r="F78" s="48">
        <v>223663</v>
      </c>
      <c r="G78" s="36" t="s">
        <v>165</v>
      </c>
      <c r="H78" s="92">
        <v>2017</v>
      </c>
      <c r="I78" s="48">
        <v>36041733</v>
      </c>
      <c r="J78" s="49">
        <v>37287168</v>
      </c>
      <c r="K78" s="49">
        <f>-J78+I78</f>
        <v>-1245435</v>
      </c>
      <c r="L78" s="49">
        <v>826071</v>
      </c>
      <c r="M78" s="49">
        <v>2221894</v>
      </c>
      <c r="N78" s="49">
        <v>1437574</v>
      </c>
      <c r="O78" s="49">
        <v>12000</v>
      </c>
      <c r="P78" s="49">
        <v>-4305400</v>
      </c>
      <c r="Q78" s="49">
        <v>4666790</v>
      </c>
      <c r="R78" s="49">
        <v>361390</v>
      </c>
      <c r="S78" s="49">
        <v>149378</v>
      </c>
      <c r="T78" s="49">
        <f>R78-S78</f>
        <v>212012</v>
      </c>
      <c r="U78" s="49">
        <v>0</v>
      </c>
      <c r="V78" s="49">
        <v>0</v>
      </c>
      <c r="W78" s="49">
        <v>212012</v>
      </c>
      <c r="X78" s="50">
        <v>212012</v>
      </c>
    </row>
    <row r="79" spans="1:24" ht="15.6" x14ac:dyDescent="0.3">
      <c r="A79" s="96" t="s">
        <v>70</v>
      </c>
      <c r="B79" s="49">
        <v>5690344</v>
      </c>
      <c r="C79" s="49">
        <v>-1580817</v>
      </c>
      <c r="D79" s="49">
        <v>6517636</v>
      </c>
      <c r="E79" s="49">
        <v>5191099</v>
      </c>
      <c r="F79" s="49">
        <v>3668161</v>
      </c>
      <c r="G79" s="33" t="s">
        <v>166</v>
      </c>
      <c r="H79" s="92">
        <v>2018</v>
      </c>
      <c r="I79" s="48">
        <v>67728826</v>
      </c>
      <c r="J79" s="49">
        <v>64094326</v>
      </c>
      <c r="K79" s="49">
        <f>-J79+I79</f>
        <v>3634500</v>
      </c>
      <c r="L79" s="49">
        <v>612041</v>
      </c>
      <c r="M79" s="49">
        <v>2569581</v>
      </c>
      <c r="N79" s="49">
        <v>1577069</v>
      </c>
      <c r="O79" s="49">
        <v>100465</v>
      </c>
      <c r="P79" s="49">
        <v>352413</v>
      </c>
      <c r="Q79" s="49">
        <v>24961</v>
      </c>
      <c r="R79" s="49">
        <v>377374</v>
      </c>
      <c r="S79" s="49">
        <v>150039</v>
      </c>
      <c r="T79" s="49">
        <f>R79-S79</f>
        <v>227335</v>
      </c>
      <c r="U79" s="49">
        <v>0</v>
      </c>
      <c r="V79" s="49">
        <v>0</v>
      </c>
      <c r="W79" s="49">
        <v>227335</v>
      </c>
      <c r="X79" s="50">
        <v>227335</v>
      </c>
    </row>
    <row r="80" spans="1:24" ht="15.6" x14ac:dyDescent="0.3">
      <c r="A80" s="96" t="s">
        <v>71</v>
      </c>
      <c r="B80" s="49">
        <v>-6120651</v>
      </c>
      <c r="C80" s="49">
        <v>-8427658</v>
      </c>
      <c r="D80" s="49">
        <v>-7251502</v>
      </c>
      <c r="E80" s="49">
        <v>-3894221</v>
      </c>
      <c r="F80" s="49">
        <v>-4956899</v>
      </c>
      <c r="G80" s="33" t="s">
        <v>167</v>
      </c>
      <c r="H80" s="92">
        <v>2019</v>
      </c>
      <c r="I80" s="48">
        <v>41538969</v>
      </c>
      <c r="J80" s="49">
        <v>37274428</v>
      </c>
      <c r="K80" s="49">
        <f>-J80+I80</f>
        <v>4264541</v>
      </c>
      <c r="L80" s="49">
        <v>863426</v>
      </c>
      <c r="M80" s="49">
        <v>2779054</v>
      </c>
      <c r="N80" s="49">
        <v>1776970</v>
      </c>
      <c r="O80" s="49">
        <v>0</v>
      </c>
      <c r="P80" s="49">
        <v>622061</v>
      </c>
      <c r="Q80" s="49">
        <v>20692</v>
      </c>
      <c r="R80" s="49">
        <v>642753</v>
      </c>
      <c r="S80" s="49">
        <v>164164</v>
      </c>
      <c r="T80" s="49">
        <f>R80-S80</f>
        <v>478589</v>
      </c>
      <c r="U80" s="49">
        <v>0</v>
      </c>
      <c r="V80" s="49">
        <v>0</v>
      </c>
      <c r="W80" s="49">
        <v>478589</v>
      </c>
      <c r="X80" s="50">
        <v>478589</v>
      </c>
    </row>
    <row r="81" spans="1:24" ht="15.6" x14ac:dyDescent="0.3">
      <c r="A81" s="96" t="s">
        <v>72</v>
      </c>
      <c r="B81" s="49">
        <v>522057</v>
      </c>
      <c r="C81" s="49">
        <v>10087879</v>
      </c>
      <c r="D81" s="49">
        <v>779735</v>
      </c>
      <c r="E81" s="49">
        <v>-1347758</v>
      </c>
      <c r="F81" s="49">
        <v>1254008</v>
      </c>
      <c r="G81" s="33" t="s">
        <v>168</v>
      </c>
      <c r="H81" s="92">
        <v>2020</v>
      </c>
      <c r="I81" s="48">
        <v>34481124</v>
      </c>
      <c r="J81" s="49">
        <v>34443873</v>
      </c>
      <c r="K81" s="49">
        <f>-J81+I81</f>
        <v>37251</v>
      </c>
      <c r="L81" s="49">
        <v>975437</v>
      </c>
      <c r="M81" s="49">
        <v>2565528</v>
      </c>
      <c r="N81" s="49">
        <v>1883984</v>
      </c>
      <c r="O81" s="49">
        <v>0</v>
      </c>
      <c r="P81" s="49">
        <v>-3503714</v>
      </c>
      <c r="Q81" s="49">
        <v>98240</v>
      </c>
      <c r="R81" s="49">
        <v>-3405474</v>
      </c>
      <c r="S81" s="49">
        <v>177489</v>
      </c>
      <c r="T81" s="49">
        <f>R81-S81</f>
        <v>-3582963</v>
      </c>
      <c r="U81" s="49">
        <v>0</v>
      </c>
      <c r="V81" s="49">
        <v>0</v>
      </c>
      <c r="W81" s="49">
        <v>-3582963</v>
      </c>
      <c r="X81" s="50">
        <v>-3582963</v>
      </c>
    </row>
    <row r="82" spans="1:24" ht="15.6" x14ac:dyDescent="0.3">
      <c r="A82" s="99" t="s">
        <v>73</v>
      </c>
      <c r="B82" s="50">
        <v>149270</v>
      </c>
      <c r="C82" s="50">
        <v>228674</v>
      </c>
      <c r="D82" s="50">
        <v>274543</v>
      </c>
      <c r="E82" s="50">
        <v>223663</v>
      </c>
      <c r="F82" s="50">
        <v>188933</v>
      </c>
      <c r="G82" s="34" t="s">
        <v>169</v>
      </c>
      <c r="H82" s="92">
        <v>2021</v>
      </c>
      <c r="I82" s="48">
        <v>41111619</v>
      </c>
      <c r="J82" s="49">
        <v>34758222</v>
      </c>
      <c r="K82" s="49">
        <f>-J82+I82</f>
        <v>6353397</v>
      </c>
      <c r="L82" s="49">
        <v>1088294</v>
      </c>
      <c r="M82" s="49">
        <v>2940865</v>
      </c>
      <c r="N82" s="49">
        <v>2188843</v>
      </c>
      <c r="O82" s="49">
        <v>184759</v>
      </c>
      <c r="P82" s="49">
        <v>2139479</v>
      </c>
      <c r="Q82" s="49">
        <v>208672</v>
      </c>
      <c r="R82" s="49">
        <v>2348151</v>
      </c>
      <c r="S82" s="49">
        <v>193647</v>
      </c>
      <c r="T82" s="49">
        <f>R82-S82</f>
        <v>2154504</v>
      </c>
      <c r="U82" s="49">
        <v>0</v>
      </c>
      <c r="V82" s="49">
        <v>0</v>
      </c>
      <c r="W82" s="49">
        <v>2154504</v>
      </c>
      <c r="X82" s="50">
        <v>2154504</v>
      </c>
    </row>
    <row r="83" spans="1:24" ht="15.6" x14ac:dyDescent="0.3">
      <c r="A83" s="6"/>
      <c r="B83" s="23"/>
      <c r="C83" s="23"/>
      <c r="D83" s="23"/>
      <c r="E83" s="6"/>
      <c r="F83" s="6"/>
      <c r="G83" s="31"/>
    </row>
    <row r="84" spans="1:24" ht="15.6" x14ac:dyDescent="0.3">
      <c r="A84" s="6"/>
      <c r="B84" s="43"/>
      <c r="C84" s="43"/>
      <c r="E84" s="6"/>
      <c r="F84" s="6"/>
      <c r="G84" s="31"/>
      <c r="I84" s="90"/>
      <c r="J84" s="95" t="s">
        <v>69</v>
      </c>
      <c r="K84" s="96" t="s">
        <v>70</v>
      </c>
      <c r="L84" s="96" t="s">
        <v>71</v>
      </c>
      <c r="M84" s="96" t="s">
        <v>72</v>
      </c>
      <c r="N84" s="99" t="s">
        <v>73</v>
      </c>
    </row>
    <row r="85" spans="1:24" ht="17.399999999999999" x14ac:dyDescent="0.3">
      <c r="A85" s="2" t="s">
        <v>74</v>
      </c>
      <c r="B85" s="25"/>
      <c r="C85" s="25"/>
      <c r="D85" s="25"/>
      <c r="E85" s="2"/>
      <c r="F85" s="2"/>
      <c r="G85" s="27" t="s">
        <v>170</v>
      </c>
      <c r="I85" s="100">
        <v>2017</v>
      </c>
      <c r="J85" s="48">
        <v>57520</v>
      </c>
      <c r="K85" s="49">
        <v>5690344</v>
      </c>
      <c r="L85" s="49">
        <v>-6120651</v>
      </c>
      <c r="M85" s="49">
        <v>522057</v>
      </c>
      <c r="N85" s="50">
        <v>149270</v>
      </c>
    </row>
    <row r="86" spans="1:24" ht="15.6" x14ac:dyDescent="0.3">
      <c r="A86" s="13" t="s">
        <v>75</v>
      </c>
      <c r="B86" s="7">
        <v>0.12970797347262461</v>
      </c>
      <c r="C86" s="7">
        <v>7.4037584622493005E-2</v>
      </c>
      <c r="D86" s="7">
        <v>0.37447940333568142</v>
      </c>
      <c r="E86" s="7">
        <v>56.326425012325799</v>
      </c>
      <c r="F86" s="7">
        <v>41.569497465967949</v>
      </c>
      <c r="G86" s="28" t="s">
        <v>171</v>
      </c>
      <c r="I86" s="100">
        <v>2018</v>
      </c>
      <c r="J86" s="48">
        <v>149270</v>
      </c>
      <c r="K86" s="49">
        <v>-1580817</v>
      </c>
      <c r="L86" s="49">
        <v>-8427658</v>
      </c>
      <c r="M86" s="49">
        <v>10087879</v>
      </c>
      <c r="N86" s="50">
        <v>228674</v>
      </c>
    </row>
    <row r="87" spans="1:24" ht="15.6" x14ac:dyDescent="0.3">
      <c r="A87" s="14" t="s">
        <v>76</v>
      </c>
      <c r="B87" s="8">
        <v>8.9994590018254716E-3</v>
      </c>
      <c r="C87" s="8">
        <v>9.649887799652819E-3</v>
      </c>
      <c r="D87" s="8">
        <v>2.0315086335795381E-2</v>
      </c>
      <c r="E87" s="8">
        <v>-0.15208916770540157</v>
      </c>
      <c r="F87" s="8">
        <v>9.1454117772904284E-2</v>
      </c>
      <c r="G87" s="29" t="s">
        <v>172</v>
      </c>
      <c r="I87" s="100">
        <v>2019</v>
      </c>
      <c r="J87" s="48">
        <v>228674</v>
      </c>
      <c r="K87" s="49">
        <v>6517636</v>
      </c>
      <c r="L87" s="49">
        <v>-7251502</v>
      </c>
      <c r="M87" s="49">
        <v>779735</v>
      </c>
      <c r="N87" s="50">
        <v>274543</v>
      </c>
    </row>
    <row r="88" spans="1:24" ht="15.6" x14ac:dyDescent="0.3">
      <c r="A88" s="14" t="s">
        <v>77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29" t="s">
        <v>173</v>
      </c>
      <c r="I88" s="100">
        <v>2020</v>
      </c>
      <c r="J88" s="48">
        <v>274543</v>
      </c>
      <c r="K88" s="49">
        <v>5191099</v>
      </c>
      <c r="L88" s="49">
        <v>-3894221</v>
      </c>
      <c r="M88" s="49">
        <v>-1347758</v>
      </c>
      <c r="N88" s="50">
        <v>223663</v>
      </c>
    </row>
    <row r="89" spans="1:24" ht="15.6" x14ac:dyDescent="0.3">
      <c r="A89" s="14" t="s">
        <v>78</v>
      </c>
      <c r="B89" s="8">
        <v>0.97451319184465945</v>
      </c>
      <c r="C89" s="8">
        <v>0.95533477472169581</v>
      </c>
      <c r="D89" s="8">
        <v>0.97564986105749119</v>
      </c>
      <c r="E89" s="8">
        <v>0.82356069335208959</v>
      </c>
      <c r="F89" s="8">
        <v>0.91501481112499394</v>
      </c>
      <c r="G89" s="29" t="s">
        <v>174</v>
      </c>
      <c r="I89" s="100">
        <v>2021</v>
      </c>
      <c r="J89" s="48">
        <v>223663</v>
      </c>
      <c r="K89" s="49">
        <v>3668161</v>
      </c>
      <c r="L89" s="49">
        <v>-4956899</v>
      </c>
      <c r="M89" s="49">
        <v>1254008</v>
      </c>
      <c r="N89" s="50">
        <v>188933</v>
      </c>
    </row>
    <row r="90" spans="1:24" ht="15.6" x14ac:dyDescent="0.3">
      <c r="A90" s="14" t="s">
        <v>79</v>
      </c>
      <c r="B90" s="8">
        <v>100.00601145218195</v>
      </c>
      <c r="C90" s="8">
        <v>83.93879978885785</v>
      </c>
      <c r="D90" s="8">
        <v>37.410621221967077</v>
      </c>
      <c r="E90" s="8">
        <v>-14.925454812120583</v>
      </c>
      <c r="F90" s="8">
        <v>36.083667749050363</v>
      </c>
      <c r="G90" s="29" t="s">
        <v>175</v>
      </c>
    </row>
    <row r="91" spans="1:24" ht="15.6" x14ac:dyDescent="0.3">
      <c r="A91" s="14" t="s">
        <v>80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29" t="s">
        <v>176</v>
      </c>
    </row>
    <row r="92" spans="1:24" ht="15.6" x14ac:dyDescent="0.3">
      <c r="A92" s="14" t="s">
        <v>81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29" t="s">
        <v>177</v>
      </c>
    </row>
    <row r="93" spans="1:24" ht="15.6" x14ac:dyDescent="0.3">
      <c r="A93" s="15" t="s">
        <v>82</v>
      </c>
      <c r="B93" s="9">
        <v>0.92353803676724666</v>
      </c>
      <c r="C93" s="9">
        <v>0.8478703187958021</v>
      </c>
      <c r="D93" s="9">
        <v>0.7789679785084459</v>
      </c>
      <c r="E93" s="9">
        <v>2.7563238730597441</v>
      </c>
      <c r="F93" s="9">
        <v>3.6064989985710838</v>
      </c>
      <c r="G93" s="39" t="s">
        <v>178</v>
      </c>
    </row>
    <row r="94" spans="1:24" ht="15.6" x14ac:dyDescent="0.3">
      <c r="A94" s="20"/>
      <c r="B94" s="10"/>
      <c r="C94" s="10"/>
      <c r="D94" s="10"/>
      <c r="E94" s="10"/>
      <c r="F94" s="10"/>
      <c r="G94" s="40"/>
    </row>
    <row r="95" spans="1:24" ht="15.6" x14ac:dyDescent="0.3">
      <c r="A95" s="21" t="s">
        <v>83</v>
      </c>
      <c r="B95" s="7">
        <v>-3.4555358367479165</v>
      </c>
      <c r="C95" s="7">
        <v>5.3662527680606775</v>
      </c>
      <c r="D95" s="7">
        <v>10.26636217186806</v>
      </c>
      <c r="E95" s="7">
        <v>0.10803302119733683</v>
      </c>
      <c r="F95" s="7">
        <v>15.454017999145206</v>
      </c>
      <c r="G95" s="28" t="s">
        <v>179</v>
      </c>
    </row>
    <row r="96" spans="1:24" ht="15.6" x14ac:dyDescent="0.3">
      <c r="A96" s="14" t="s">
        <v>84</v>
      </c>
      <c r="B96" s="8">
        <v>1.0026987326053385</v>
      </c>
      <c r="C96" s="8">
        <v>0.55718373148827349</v>
      </c>
      <c r="D96" s="8">
        <v>1.5473494298811317</v>
      </c>
      <c r="E96" s="8">
        <v>-9.8763427781530559</v>
      </c>
      <c r="F96" s="8">
        <v>5.7116480866394488</v>
      </c>
      <c r="G96" s="29" t="s">
        <v>180</v>
      </c>
    </row>
    <row r="97" spans="1:7" ht="15.6" x14ac:dyDescent="0.3">
      <c r="A97" s="14" t="s">
        <v>85</v>
      </c>
      <c r="B97" s="8">
        <v>0.58824030464905785</v>
      </c>
      <c r="C97" s="8">
        <v>0.3356547181254847</v>
      </c>
      <c r="D97" s="8">
        <v>1.1521446283368275</v>
      </c>
      <c r="E97" s="8">
        <v>-10.391085279006566</v>
      </c>
      <c r="F97" s="8">
        <v>5.2406206624944645</v>
      </c>
      <c r="G97" s="29" t="s">
        <v>181</v>
      </c>
    </row>
    <row r="98" spans="1:7" ht="15.6" x14ac:dyDescent="0.3">
      <c r="A98" s="14" t="s">
        <v>86</v>
      </c>
      <c r="B98" s="8">
        <v>0.2904467457880105</v>
      </c>
      <c r="C98" s="8">
        <v>0.28715808359763156</v>
      </c>
      <c r="D98" s="8">
        <v>0.56251277906552466</v>
      </c>
      <c r="E98" s="8">
        <v>-4.1407292506238145</v>
      </c>
      <c r="F98" s="8">
        <v>2.4111327179437225</v>
      </c>
      <c r="G98" s="29" t="s">
        <v>182</v>
      </c>
    </row>
    <row r="99" spans="1:7" ht="15.6" x14ac:dyDescent="0.3">
      <c r="A99" s="15" t="s">
        <v>87</v>
      </c>
      <c r="B99" s="9">
        <v>0.92348252205702452</v>
      </c>
      <c r="C99" s="9">
        <v>1.010105363584612</v>
      </c>
      <c r="D99" s="9">
        <v>2.0822107547656681</v>
      </c>
      <c r="E99" s="9">
        <v>-18.467268888994951</v>
      </c>
      <c r="F99" s="9">
        <v>9.9948237625206442</v>
      </c>
      <c r="G99" s="30" t="s">
        <v>183</v>
      </c>
    </row>
    <row r="100" spans="1:7" ht="15.6" x14ac:dyDescent="0.3">
      <c r="A100" s="20"/>
      <c r="B100" s="10"/>
      <c r="C100" s="10"/>
      <c r="D100" s="10"/>
      <c r="E100" s="10"/>
      <c r="F100" s="10"/>
      <c r="G100" s="41"/>
    </row>
    <row r="101" spans="1:7" ht="15.6" x14ac:dyDescent="0.3">
      <c r="A101" s="13" t="s">
        <v>88</v>
      </c>
      <c r="B101" s="7">
        <v>68.548755515042046</v>
      </c>
      <c r="C101" s="7">
        <v>71.571472249332572</v>
      </c>
      <c r="D101" s="7">
        <v>72.984829812348664</v>
      </c>
      <c r="E101" s="7">
        <v>77.578009636869666</v>
      </c>
      <c r="F101" s="7">
        <v>75.876185761422107</v>
      </c>
      <c r="G101" s="28" t="s">
        <v>184</v>
      </c>
    </row>
    <row r="102" spans="1:7" ht="15.6" x14ac:dyDescent="0.3">
      <c r="A102" s="14" t="s">
        <v>89</v>
      </c>
      <c r="B102" s="8">
        <v>31.45124448495795</v>
      </c>
      <c r="C102" s="8">
        <v>28.428527750667431</v>
      </c>
      <c r="D102" s="8">
        <v>27.015170187651336</v>
      </c>
      <c r="E102" s="8">
        <v>22.421990363130334</v>
      </c>
      <c r="F102" s="8">
        <v>24.1238142385779</v>
      </c>
      <c r="G102" s="29" t="s">
        <v>185</v>
      </c>
    </row>
    <row r="103" spans="1:7" ht="15.6" x14ac:dyDescent="0.3">
      <c r="A103" s="15" t="s">
        <v>90</v>
      </c>
      <c r="B103" s="9">
        <v>2.4192986919091166</v>
      </c>
      <c r="C103" s="9">
        <v>2.5151727217590092</v>
      </c>
      <c r="D103" s="9">
        <v>3.9153102994566411</v>
      </c>
      <c r="E103" s="9">
        <v>-19.186958065006845</v>
      </c>
      <c r="F103" s="9">
        <v>12.125935335946336</v>
      </c>
      <c r="G103" s="30" t="s">
        <v>186</v>
      </c>
    </row>
    <row r="104" spans="1:7" ht="15.6" x14ac:dyDescent="0.3">
      <c r="A104" s="22"/>
      <c r="B104" s="10"/>
      <c r="C104" s="10"/>
      <c r="D104" s="10"/>
      <c r="E104" s="10"/>
      <c r="F104" s="10"/>
      <c r="G104" s="41"/>
    </row>
    <row r="105" spans="1:7" ht="15.6" x14ac:dyDescent="0.3">
      <c r="A105" s="13" t="s">
        <v>91</v>
      </c>
      <c r="B105" s="7">
        <v>0.4937552620799931</v>
      </c>
      <c r="C105" s="7">
        <v>0.85551630318593452</v>
      </c>
      <c r="D105" s="7">
        <v>0.488231047761371</v>
      </c>
      <c r="E105" s="7">
        <v>0.39848862168319021</v>
      </c>
      <c r="F105" s="7">
        <v>0.46008533592203493</v>
      </c>
      <c r="G105" s="36" t="s">
        <v>187</v>
      </c>
    </row>
    <row r="106" spans="1:7" ht="15.6" x14ac:dyDescent="0.3">
      <c r="A106" s="14" t="s">
        <v>92</v>
      </c>
      <c r="B106" s="8">
        <v>0.63024358565197414</v>
      </c>
      <c r="C106" s="8">
        <v>1.0574459631530915</v>
      </c>
      <c r="D106" s="8">
        <v>0.59698329123878691</v>
      </c>
      <c r="E106" s="8">
        <v>0.48137697919518263</v>
      </c>
      <c r="F106" s="8">
        <v>0.55225560934802032</v>
      </c>
      <c r="G106" s="33" t="s">
        <v>188</v>
      </c>
    </row>
    <row r="107" spans="1:7" ht="15.6" x14ac:dyDescent="0.3">
      <c r="A107" s="15" t="s">
        <v>93</v>
      </c>
      <c r="B107" s="9">
        <v>28.454688639830227</v>
      </c>
      <c r="C107" s="9">
        <v>37.318995053067397</v>
      </c>
      <c r="D107" s="9">
        <v>-27.408221746858928</v>
      </c>
      <c r="E107" s="9">
        <v>-7.9792684628537591</v>
      </c>
      <c r="F107" s="9">
        <v>18.698854325241733</v>
      </c>
      <c r="G107" s="39" t="s">
        <v>189</v>
      </c>
    </row>
    <row r="108" spans="1:7" ht="15.6" x14ac:dyDescent="0.3">
      <c r="A108" s="20"/>
      <c r="B108" s="10"/>
      <c r="C108" s="10"/>
      <c r="D108" s="10"/>
      <c r="E108" s="10"/>
      <c r="F108" s="10"/>
      <c r="G108" s="40"/>
    </row>
    <row r="109" spans="1:7" ht="15.6" x14ac:dyDescent="0.3">
      <c r="A109" s="13" t="s">
        <v>94</v>
      </c>
      <c r="B109" s="7">
        <v>1.0871048347654633</v>
      </c>
      <c r="C109" s="7">
        <v>1.1364261552509383</v>
      </c>
      <c r="D109" s="7">
        <v>0.9096557009777444</v>
      </c>
      <c r="E109" s="7">
        <v>0.77281813165483937</v>
      </c>
      <c r="F109" s="7">
        <v>1.1750458629990492</v>
      </c>
      <c r="G109" s="36" t="s">
        <v>190</v>
      </c>
    </row>
    <row r="110" spans="1:7" ht="14.4" customHeight="1" x14ac:dyDescent="0.3">
      <c r="A110" s="15" t="s">
        <v>95</v>
      </c>
      <c r="B110" s="5">
        <v>1266636</v>
      </c>
      <c r="C110" s="5">
        <v>1814862</v>
      </c>
      <c r="D110" s="5">
        <v>-1515566</v>
      </c>
      <c r="E110" s="5">
        <v>-4321339</v>
      </c>
      <c r="F110" s="5">
        <v>2198617</v>
      </c>
      <c r="G110" s="39" t="s">
        <v>191</v>
      </c>
    </row>
    <row r="111" spans="1:7" ht="28.95" customHeight="1" x14ac:dyDescent="0.3">
      <c r="A111" s="54"/>
      <c r="B111" s="54"/>
      <c r="C111" s="54"/>
      <c r="D111" s="54"/>
      <c r="E111" s="54"/>
      <c r="F111" s="54"/>
    </row>
    <row r="112" spans="1:7" ht="17.399999999999999" customHeight="1" x14ac:dyDescent="0.3">
      <c r="A112" s="83"/>
      <c r="B112" s="84">
        <v>2017</v>
      </c>
      <c r="C112" s="84">
        <v>2018</v>
      </c>
      <c r="D112" s="84">
        <v>2019</v>
      </c>
      <c r="E112" s="84">
        <v>2020</v>
      </c>
      <c r="F112" s="84">
        <v>2021</v>
      </c>
    </row>
    <row r="113" spans="1:6" ht="25.2" customHeight="1" x14ac:dyDescent="0.3">
      <c r="A113" s="84" t="s">
        <v>88</v>
      </c>
      <c r="B113" s="59">
        <f>100*B42/B29</f>
        <v>68.427079676554129</v>
      </c>
      <c r="C113" s="59">
        <f>100*C42/C29</f>
        <v>71.730234356443418</v>
      </c>
      <c r="D113" s="59">
        <f>100*D42/D29</f>
        <v>73.808724215892184</v>
      </c>
      <c r="E113" s="59">
        <f>100*E42/E29</f>
        <v>79.189728119558637</v>
      </c>
      <c r="F113" s="59">
        <f>100*F42/F29</f>
        <v>78.083244364437348</v>
      </c>
    </row>
    <row r="114" spans="1:6" ht="30" customHeight="1" x14ac:dyDescent="0.3">
      <c r="A114" s="84" t="s">
        <v>211</v>
      </c>
      <c r="B114" s="59">
        <f>B66/B67</f>
        <v>2.4192986919091166</v>
      </c>
      <c r="C114" s="59">
        <f>C66/C67</f>
        <v>2.5151727217590092</v>
      </c>
      <c r="D114" s="59">
        <f>D66/D67</f>
        <v>3.9153102994566411</v>
      </c>
      <c r="E114" s="59">
        <f>E66/E67</f>
        <v>-19.186958065006845</v>
      </c>
      <c r="F114" s="59">
        <f>F66/F67</f>
        <v>12.125935335946336</v>
      </c>
    </row>
    <row r="115" spans="1:6" ht="17.399999999999999" customHeight="1" x14ac:dyDescent="0.3">
      <c r="A115" s="84" t="s">
        <v>212</v>
      </c>
      <c r="B115" s="59">
        <f>B22/B38</f>
        <v>1.0873276171069421</v>
      </c>
      <c r="C115" s="59">
        <f>C22/C38</f>
        <v>1.1171876038748325</v>
      </c>
      <c r="D115" s="59">
        <f>D22/D38</f>
        <v>0.84301008673560185</v>
      </c>
      <c r="E115" s="59">
        <f>E22/E38</f>
        <v>0.6656939318189693</v>
      </c>
      <c r="F115" s="59">
        <f>F22/F38</f>
        <v>0.9593864347623029</v>
      </c>
    </row>
    <row r="116" spans="1:6" ht="18.600000000000001" customHeight="1" x14ac:dyDescent="0.3">
      <c r="A116" s="84" t="s">
        <v>209</v>
      </c>
      <c r="B116" s="59">
        <f>(B22-B20)/B38</f>
        <v>0.8677419929448259</v>
      </c>
      <c r="C116" s="59">
        <f>(C22-C20)/C38</f>
        <v>0.7971142807801711</v>
      </c>
      <c r="D116" s="59">
        <f>(D22-D20)/D38</f>
        <v>0.62041136768955185</v>
      </c>
      <c r="E116" s="59">
        <f>(E22-E20)/E38</f>
        <v>0.45345785172792225</v>
      </c>
      <c r="F116" s="59">
        <f>(F22-F20)/F38</f>
        <v>0.61484490943928882</v>
      </c>
    </row>
    <row r="117" spans="1:6" x14ac:dyDescent="0.3">
      <c r="A117" s="84" t="s">
        <v>213</v>
      </c>
      <c r="B117" s="59">
        <f>B15/B38</f>
        <v>1.0509608649266401E-2</v>
      </c>
      <c r="C117" s="59">
        <f>C15/C38</f>
        <v>1.7574824272123951E-2</v>
      </c>
      <c r="D117" s="59">
        <f>D15/D38</f>
        <v>1.6692944562749529E-2</v>
      </c>
      <c r="E117" s="59">
        <f>E15/E38</f>
        <v>1.205189324965626E-2</v>
      </c>
      <c r="F117" s="59">
        <f>F15/F38</f>
        <v>1.575679231396326E-2</v>
      </c>
    </row>
    <row r="118" spans="1:6" x14ac:dyDescent="0.3">
      <c r="A118" s="84" t="s">
        <v>210</v>
      </c>
      <c r="B118" s="59">
        <f>B56/AVERAGE($B$20:$F$20)</f>
        <v>9.4774652018358481</v>
      </c>
      <c r="C118" s="59">
        <f>C56/AVERAGE($B$20:$F$20)</f>
        <v>17.809842594866208</v>
      </c>
      <c r="D118" s="59">
        <f>D56/AVERAGE($B$20:$F$20)</f>
        <v>10.923007870282985</v>
      </c>
      <c r="E118" s="59">
        <f>E56/AVERAGE($B$20:$F$20)</f>
        <v>9.0670904429092491</v>
      </c>
      <c r="F118" s="59">
        <f>F56/AVERAGE($B$20:$F$20)</f>
        <v>10.810632731329358</v>
      </c>
    </row>
    <row r="119" spans="1:6" x14ac:dyDescent="0.3">
      <c r="A119" s="84" t="s">
        <v>348</v>
      </c>
      <c r="B119" s="59">
        <f>AVERAGE($B$16:$F$16)/((B56+B64)/365)</f>
        <v>55.481686574578006</v>
      </c>
      <c r="C119" s="59">
        <f t="shared" ref="C119:F119" si="8">AVERAGE($B$16:$F$16)/((C56+C64)/365)</f>
        <v>33.335074156076324</v>
      </c>
      <c r="D119" s="59">
        <f t="shared" si="8"/>
        <v>54.345426782956672</v>
      </c>
      <c r="E119" s="59">
        <f t="shared" si="8"/>
        <v>65.315762140680206</v>
      </c>
      <c r="F119" s="59">
        <f t="shared" si="8"/>
        <v>54.660251884479706</v>
      </c>
    </row>
    <row r="120" spans="1:6" ht="18.600000000000001" customHeight="1" x14ac:dyDescent="0.3">
      <c r="A120" s="84" t="s">
        <v>214</v>
      </c>
      <c r="B120" s="59">
        <f>AVERAGE($B$20:$F$20)/(B57/365)</f>
        <v>37.226047872554972</v>
      </c>
      <c r="C120" s="59">
        <f t="shared" ref="C120:F120" si="9">AVERAGE($B$20:$F$20)/(C57/365)</f>
        <v>21.656424017938811</v>
      </c>
      <c r="D120" s="59">
        <f t="shared" si="9"/>
        <v>37.238771336745927</v>
      </c>
      <c r="E120" s="59">
        <f t="shared" si="9"/>
        <v>40.299007634826658</v>
      </c>
      <c r="F120" s="59">
        <f t="shared" si="9"/>
        <v>39.93454846453308</v>
      </c>
    </row>
    <row r="121" spans="1:6" ht="19.2" customHeight="1" x14ac:dyDescent="0.3">
      <c r="A121" s="84" t="s">
        <v>215</v>
      </c>
      <c r="B121" s="59">
        <f>(B56+B64)/B29</f>
        <v>0.56048789026176915</v>
      </c>
      <c r="C121" s="59">
        <f>(C56+C64)/C29</f>
        <v>0.8621645664239227</v>
      </c>
      <c r="D121" s="59">
        <f>(D56+D64)/D29</f>
        <v>0.49661802279743866</v>
      </c>
      <c r="E121" s="59">
        <f>(E56+E64)/E29</f>
        <v>0.41076046869272947</v>
      </c>
      <c r="F121" s="59">
        <f>(F56+F64)/F29</f>
        <v>0.47990348618856321</v>
      </c>
    </row>
    <row r="122" spans="1:6" x14ac:dyDescent="0.3">
      <c r="A122" s="84" t="s">
        <v>216</v>
      </c>
      <c r="B122" s="59">
        <f>B58/(B56+B64)</f>
        <v>-3.059396185904362E-2</v>
      </c>
      <c r="C122" s="59">
        <f>C58/(C56+C64)</f>
        <v>5.3642758005541448E-2</v>
      </c>
      <c r="D122" s="59">
        <f>D58/(D56+D64)</f>
        <v>0.10261250687295068</v>
      </c>
      <c r="E122" s="59">
        <f>E58/(E56+E64)</f>
        <v>1.0772609930014907E-3</v>
      </c>
      <c r="F122" s="59">
        <f>F58/(F56+F64)</f>
        <v>0.15375973513836097</v>
      </c>
    </row>
    <row r="123" spans="1:6" x14ac:dyDescent="0.3">
      <c r="A123" s="84" t="s">
        <v>217</v>
      </c>
      <c r="B123" s="59">
        <f>(B72)/(B56+B64)</f>
        <v>5.2080494298454407E-3</v>
      </c>
      <c r="C123" s="59">
        <f>(C72)/(C56+C64)</f>
        <v>3.3553106042618695E-3</v>
      </c>
      <c r="D123" s="59">
        <f>(D72)/(D56+D64)</f>
        <v>1.151570990918333E-2</v>
      </c>
      <c r="E123" s="59">
        <f>(E72)/(E56+E64)</f>
        <v>-0.10361564197652681</v>
      </c>
      <c r="F123" s="59">
        <f>(F72)/(F56+F64)</f>
        <v>5.2141549535553854E-2</v>
      </c>
    </row>
    <row r="124" spans="1:6" x14ac:dyDescent="0.3">
      <c r="A124" s="84" t="s">
        <v>219</v>
      </c>
      <c r="B124" s="59">
        <f>(B72+B67*(1-(B69/B68)))/AVERAGE($B$29:$F$29)</f>
        <v>4.4595504949316222E-3</v>
      </c>
      <c r="C124" s="59">
        <f>(C72+C67*(1-(C69/C68)))/AVERAGE($B$29:$F$29)</f>
        <v>4.656792961826077E-3</v>
      </c>
      <c r="D124" s="59">
        <f>(D72+D67*(1-(D69/D68)))/AVERAGE($B$29:$F$29)</f>
        <v>7.9315682760142375E-3</v>
      </c>
      <c r="E124" s="59">
        <f>(E72+E67*(1-(E69/E68)))/AVERAGE($B$29:$F$29)</f>
        <v>-4.2023529323381312E-2</v>
      </c>
      <c r="F124" s="59">
        <f>(F72+F67*(1-(F69/F68)))/AVERAGE($B$29:$F$29)</f>
        <v>2.8976169662204777E-2</v>
      </c>
    </row>
    <row r="125" spans="1:6" ht="24.6" customHeight="1" x14ac:dyDescent="0.3">
      <c r="A125" s="84" t="s">
        <v>218</v>
      </c>
      <c r="B125" s="59">
        <f>B72/B51</f>
        <v>9.2454185656858975E-3</v>
      </c>
      <c r="C125" s="59">
        <f>C72/C51</f>
        <v>1.0232946211212674E-2</v>
      </c>
      <c r="D125" s="59">
        <f>D72/D51</f>
        <v>2.1835168066450514E-2</v>
      </c>
      <c r="E125" s="59">
        <f>E72/E51</f>
        <v>-0.20452019996037415</v>
      </c>
      <c r="F125" s="59">
        <f>F72/F51</f>
        <v>0.11417251628604727</v>
      </c>
    </row>
    <row r="126" spans="1:6" x14ac:dyDescent="0.3">
      <c r="A126" s="84" t="s">
        <v>220</v>
      </c>
      <c r="B126" s="59">
        <f>B72/B46</f>
        <v>8.9994590018254716E-3</v>
      </c>
      <c r="C126" s="59">
        <f>C72/C46</f>
        <v>9.649887799652819E-3</v>
      </c>
      <c r="D126" s="59">
        <f>D72/D46</f>
        <v>2.0315086335795381E-2</v>
      </c>
      <c r="E126" s="59">
        <f>E72/E46</f>
        <v>-0.15208916770540157</v>
      </c>
      <c r="F126" s="59">
        <f>F72/F46</f>
        <v>9.1454117772904284E-2</v>
      </c>
    </row>
    <row r="127" spans="1:6" x14ac:dyDescent="0.3">
      <c r="A127" s="84" t="s">
        <v>221</v>
      </c>
      <c r="B127" s="59">
        <f>B5/B126</f>
        <v>100.00601145218195</v>
      </c>
      <c r="C127" s="59">
        <f>C5/C126</f>
        <v>83.938799788857864</v>
      </c>
      <c r="D127" s="59">
        <f>D5/D126</f>
        <v>37.410621221967077</v>
      </c>
      <c r="E127" s="59">
        <f>E5/E126</f>
        <v>-14.925454812120583</v>
      </c>
      <c r="F127" s="59">
        <f>F5/F126</f>
        <v>36.083667749050363</v>
      </c>
    </row>
    <row r="128" spans="1:6" x14ac:dyDescent="0.3">
      <c r="A128" s="84" t="s">
        <v>222</v>
      </c>
      <c r="B128" s="59">
        <f>B51/B9</f>
        <v>0.97339660047698673</v>
      </c>
      <c r="C128" s="59">
        <f t="shared" ref="C128:F128" si="10">C51/C9</f>
        <v>0.94302145251961034</v>
      </c>
      <c r="D128" s="59">
        <f t="shared" si="10"/>
        <v>0.93038378610006112</v>
      </c>
      <c r="E128" s="59">
        <f t="shared" si="10"/>
        <v>0.74363885687022047</v>
      </c>
      <c r="F128" s="59">
        <f t="shared" si="10"/>
        <v>0.80101692375576261</v>
      </c>
    </row>
    <row r="129" spans="1:8" x14ac:dyDescent="0.3">
      <c r="A129" s="54"/>
      <c r="B129" s="54"/>
      <c r="C129" s="54"/>
      <c r="D129" s="54"/>
      <c r="E129" s="54"/>
      <c r="F129" s="54"/>
    </row>
    <row r="130" spans="1:8" x14ac:dyDescent="0.3">
      <c r="A130" s="59"/>
      <c r="B130" s="54"/>
      <c r="C130" s="54"/>
      <c r="D130" s="54"/>
      <c r="E130" s="54"/>
      <c r="F130" s="54"/>
    </row>
    <row r="131" spans="1:8" ht="15.6" customHeight="1" x14ac:dyDescent="0.3"/>
    <row r="132" spans="1:8" x14ac:dyDescent="0.3">
      <c r="A132" s="55" t="s">
        <v>250</v>
      </c>
      <c r="B132" s="55" t="s">
        <v>251</v>
      </c>
      <c r="C132" s="55" t="s">
        <v>253</v>
      </c>
      <c r="D132" s="55" t="s">
        <v>254</v>
      </c>
      <c r="F132" s="55" t="s">
        <v>250</v>
      </c>
      <c r="G132" s="55" t="s">
        <v>256</v>
      </c>
    </row>
    <row r="133" spans="1:8" x14ac:dyDescent="0.3">
      <c r="A133" s="57">
        <v>0</v>
      </c>
      <c r="B133" s="56">
        <f>-B52</f>
        <v>-72630513</v>
      </c>
      <c r="C133" s="56">
        <f>B133</f>
        <v>-72630513</v>
      </c>
      <c r="D133" s="58">
        <f>FV(0.41,$A$137-A133,0,-B133)</f>
        <v>-287075124.78814584</v>
      </c>
      <c r="F133" s="55">
        <v>0</v>
      </c>
      <c r="G133" s="56">
        <f>B133</f>
        <v>-72630513</v>
      </c>
    </row>
    <row r="134" spans="1:8" x14ac:dyDescent="0.3">
      <c r="A134" s="57">
        <v>1</v>
      </c>
      <c r="B134" s="56">
        <f>C72</f>
        <v>227335</v>
      </c>
      <c r="C134" s="58">
        <f>PV(0.41,A134,0,-B134)</f>
        <v>161230.49645390071</v>
      </c>
      <c r="D134" s="58">
        <f t="shared" ref="D134:D137" si="11">FV(0.41,$A$137-A134,0,-B134)</f>
        <v>637270.24603499984</v>
      </c>
      <c r="F134" s="55">
        <v>1</v>
      </c>
      <c r="G134" s="56">
        <f>G133+B134</f>
        <v>-72403178</v>
      </c>
    </row>
    <row r="135" spans="1:8" x14ac:dyDescent="0.3">
      <c r="A135" s="57">
        <v>2</v>
      </c>
      <c r="B135" s="56">
        <f>D72</f>
        <v>478589</v>
      </c>
      <c r="C135" s="58">
        <f t="shared" ref="C135:C136" si="12">PV(0.41,A135,0,-B135)</f>
        <v>240726.82460640816</v>
      </c>
      <c r="D135" s="58">
        <f t="shared" si="11"/>
        <v>951482.79089999991</v>
      </c>
      <c r="F135" s="55">
        <v>2</v>
      </c>
      <c r="G135" s="56">
        <f>G134+B135</f>
        <v>-71924589</v>
      </c>
    </row>
    <row r="136" spans="1:8" x14ac:dyDescent="0.3">
      <c r="A136" s="57">
        <v>3</v>
      </c>
      <c r="B136" s="56">
        <f>-E72</f>
        <v>3582963</v>
      </c>
      <c r="C136" s="58">
        <f t="shared" si="12"/>
        <v>1278159.3031730289</v>
      </c>
      <c r="D136" s="58">
        <f t="shared" si="11"/>
        <v>5051977.83</v>
      </c>
      <c r="F136" s="55">
        <v>3</v>
      </c>
      <c r="G136" s="56">
        <f t="shared" ref="G136:G137" si="13">G135+B136</f>
        <v>-68341626</v>
      </c>
    </row>
    <row r="137" spans="1:8" x14ac:dyDescent="0.3">
      <c r="A137" s="57">
        <v>4</v>
      </c>
      <c r="B137" s="56">
        <f>F72</f>
        <v>2154504</v>
      </c>
      <c r="C137" s="58">
        <f>PV(0.41,A137,0,-B137)</f>
        <v>545093.31275578914</v>
      </c>
      <c r="D137" s="58">
        <f t="shared" si="11"/>
        <v>2154504</v>
      </c>
      <c r="F137" s="55">
        <v>4</v>
      </c>
      <c r="G137" s="56">
        <f t="shared" si="13"/>
        <v>-66187122</v>
      </c>
    </row>
    <row r="138" spans="1:8" x14ac:dyDescent="0.3">
      <c r="B138" s="115" t="s">
        <v>261</v>
      </c>
      <c r="C138" s="116"/>
    </row>
    <row r="140" spans="1:8" x14ac:dyDescent="0.3">
      <c r="A140" s="59" t="s">
        <v>255</v>
      </c>
      <c r="B140" s="60">
        <f>PMT(0.41,A137,-B142)</f>
        <v>-38642894.813494757</v>
      </c>
      <c r="C140" s="62"/>
      <c r="D140" s="62"/>
    </row>
    <row r="141" spans="1:8" x14ac:dyDescent="0.3">
      <c r="A141" s="59" t="s">
        <v>347</v>
      </c>
      <c r="B141" s="101">
        <f>IRR(B133:B137)</f>
        <v>-0.51458424437340911</v>
      </c>
      <c r="C141" s="62"/>
    </row>
    <row r="142" spans="1:8" x14ac:dyDescent="0.3">
      <c r="A142" t="s">
        <v>357</v>
      </c>
      <c r="B142" s="88">
        <f>NPV(0.41,B134:B137)+B133</f>
        <v>-70405303.063010871</v>
      </c>
      <c r="C142" s="88"/>
    </row>
    <row r="143" spans="1:8" x14ac:dyDescent="0.3">
      <c r="A143" s="61" t="s">
        <v>252</v>
      </c>
      <c r="B143" s="61">
        <v>7.0000000000000007E-2</v>
      </c>
      <c r="C143" s="88"/>
      <c r="D143" s="62"/>
      <c r="G143" s="51" t="s">
        <v>223</v>
      </c>
      <c r="H143" s="52" t="s">
        <v>224</v>
      </c>
    </row>
    <row r="144" spans="1:8" ht="16.2" customHeight="1" x14ac:dyDescent="0.3">
      <c r="A144" s="61" t="s">
        <v>257</v>
      </c>
      <c r="B144" s="61">
        <v>4</v>
      </c>
      <c r="G144" s="53" t="s">
        <v>225</v>
      </c>
      <c r="H144" s="53" t="s">
        <v>226</v>
      </c>
    </row>
    <row r="145" spans="1:8" ht="13.8" customHeight="1" x14ac:dyDescent="0.3">
      <c r="A145" s="61" t="s">
        <v>258</v>
      </c>
      <c r="B145" s="61">
        <v>1</v>
      </c>
      <c r="G145" s="53" t="s">
        <v>227</v>
      </c>
      <c r="H145" s="53" t="s">
        <v>228</v>
      </c>
    </row>
    <row r="146" spans="1:8" ht="22.8" customHeight="1" x14ac:dyDescent="0.3">
      <c r="A146" s="61" t="s">
        <v>259</v>
      </c>
      <c r="B146" s="61">
        <f>B145*B144</f>
        <v>4</v>
      </c>
      <c r="D146" s="89"/>
      <c r="G146" s="53" t="s">
        <v>212</v>
      </c>
      <c r="H146" s="53" t="s">
        <v>229</v>
      </c>
    </row>
    <row r="147" spans="1:8" ht="25.8" customHeight="1" x14ac:dyDescent="0.3">
      <c r="A147" s="61" t="s">
        <v>260</v>
      </c>
      <c r="B147" s="61">
        <f>((1+B143/B146)^B145)-1</f>
        <v>1.7500000000000071E-2</v>
      </c>
      <c r="G147" s="53" t="s">
        <v>230</v>
      </c>
      <c r="H147" s="53" t="s">
        <v>231</v>
      </c>
    </row>
    <row r="148" spans="1:8" ht="52.2" customHeight="1" x14ac:dyDescent="0.3">
      <c r="G148" s="53" t="s">
        <v>232</v>
      </c>
      <c r="H148" s="53" t="s">
        <v>233</v>
      </c>
    </row>
    <row r="149" spans="1:8" ht="19.95" customHeight="1" x14ac:dyDescent="0.35">
      <c r="A149" s="114" t="s">
        <v>270</v>
      </c>
      <c r="B149" s="114"/>
      <c r="C149" s="114"/>
      <c r="D149" s="114"/>
      <c r="E149" s="114"/>
      <c r="F149" s="63"/>
      <c r="G149" s="53" t="s">
        <v>234</v>
      </c>
      <c r="H149" s="53" t="s">
        <v>235</v>
      </c>
    </row>
    <row r="150" spans="1:8" ht="23.4" customHeight="1" x14ac:dyDescent="0.35">
      <c r="A150" s="64"/>
      <c r="B150" s="65" t="s">
        <v>266</v>
      </c>
      <c r="C150" s="65" t="s">
        <v>271</v>
      </c>
      <c r="D150" s="65" t="s">
        <v>272</v>
      </c>
      <c r="E150" s="65" t="s">
        <v>273</v>
      </c>
      <c r="F150" s="65" t="s">
        <v>274</v>
      </c>
      <c r="G150" s="53" t="s">
        <v>236</v>
      </c>
      <c r="H150" s="53" t="s">
        <v>237</v>
      </c>
    </row>
    <row r="151" spans="1:8" ht="20.399999999999999" customHeight="1" x14ac:dyDescent="0.35">
      <c r="A151" s="65" t="s">
        <v>275</v>
      </c>
      <c r="B151" s="66">
        <f>10000*9*74</f>
        <v>6660000</v>
      </c>
      <c r="C151" s="66">
        <f>10000*9*70</f>
        <v>6300000</v>
      </c>
      <c r="D151" s="66">
        <f>10000*9*80</f>
        <v>7200000</v>
      </c>
      <c r="E151" s="66">
        <f>10000*9*78</f>
        <v>7020000</v>
      </c>
      <c r="F151" s="66">
        <f t="shared" ref="F151" si="14">10000*9*301</f>
        <v>27090000</v>
      </c>
      <c r="G151" s="53" t="s">
        <v>238</v>
      </c>
      <c r="H151" s="53" t="s">
        <v>239</v>
      </c>
    </row>
    <row r="152" spans="1:8" ht="24" customHeight="1" x14ac:dyDescent="0.35">
      <c r="A152" s="65" t="s">
        <v>276</v>
      </c>
      <c r="B152" s="69">
        <v>3.6</v>
      </c>
      <c r="C152" s="69">
        <v>3.5</v>
      </c>
      <c r="D152" s="69">
        <f t="shared" ref="D152" si="15">1.5*2.5</f>
        <v>3.75</v>
      </c>
      <c r="E152" s="69">
        <v>3.7</v>
      </c>
      <c r="F152" s="69"/>
      <c r="G152" s="53" t="s">
        <v>240</v>
      </c>
      <c r="H152" s="53" t="s">
        <v>241</v>
      </c>
    </row>
    <row r="153" spans="1:8" ht="27" customHeight="1" x14ac:dyDescent="0.35">
      <c r="A153" s="65" t="s">
        <v>277</v>
      </c>
      <c r="B153" s="67">
        <f>B151*B152</f>
        <v>23976000</v>
      </c>
      <c r="C153" s="67">
        <f t="shared" ref="C153:E153" si="16">C151*C152</f>
        <v>22050000</v>
      </c>
      <c r="D153" s="67">
        <f t="shared" si="16"/>
        <v>27000000</v>
      </c>
      <c r="E153" s="67">
        <f t="shared" si="16"/>
        <v>25974000</v>
      </c>
      <c r="F153" s="67">
        <f>SUM(B153:E153)</f>
        <v>99000000</v>
      </c>
      <c r="G153" s="53" t="s">
        <v>242</v>
      </c>
      <c r="H153" s="53" t="s">
        <v>243</v>
      </c>
    </row>
    <row r="154" spans="1:8" ht="37.200000000000003" customHeight="1" x14ac:dyDescent="0.3">
      <c r="G154" s="53" t="s">
        <v>244</v>
      </c>
      <c r="H154" s="53" t="s">
        <v>245</v>
      </c>
    </row>
    <row r="155" spans="1:8" ht="26.4" customHeight="1" x14ac:dyDescent="0.35">
      <c r="A155" s="114" t="s">
        <v>278</v>
      </c>
      <c r="B155" s="114"/>
      <c r="C155" s="114"/>
      <c r="D155" s="114"/>
      <c r="E155" s="114"/>
      <c r="F155" s="114"/>
      <c r="G155" s="53" t="s">
        <v>246</v>
      </c>
      <c r="H155" s="53" t="s">
        <v>247</v>
      </c>
    </row>
    <row r="156" spans="1:8" ht="27.6" x14ac:dyDescent="0.35">
      <c r="A156" s="64"/>
      <c r="B156" s="65" t="s">
        <v>266</v>
      </c>
      <c r="C156" s="65" t="s">
        <v>271</v>
      </c>
      <c r="D156" s="65" t="s">
        <v>272</v>
      </c>
      <c r="E156" s="65" t="s">
        <v>273</v>
      </c>
      <c r="F156" s="65" t="s">
        <v>274</v>
      </c>
      <c r="G156" s="53" t="s">
        <v>248</v>
      </c>
      <c r="H156" s="53" t="s">
        <v>249</v>
      </c>
    </row>
    <row r="157" spans="1:8" ht="18" x14ac:dyDescent="0.35">
      <c r="A157" s="65" t="s">
        <v>279</v>
      </c>
      <c r="B157" s="66">
        <f>B151</f>
        <v>6660000</v>
      </c>
      <c r="C157" s="66">
        <f t="shared" ref="C157:E157" si="17">C151</f>
        <v>6300000</v>
      </c>
      <c r="D157" s="66">
        <f t="shared" si="17"/>
        <v>7200000</v>
      </c>
      <c r="E157" s="66">
        <f t="shared" si="17"/>
        <v>7020000</v>
      </c>
      <c r="F157" s="66">
        <f>SUM(B157:E157)</f>
        <v>27180000</v>
      </c>
    </row>
    <row r="158" spans="1:8" ht="18" x14ac:dyDescent="0.35">
      <c r="A158" s="65" t="s">
        <v>280</v>
      </c>
      <c r="B158" s="68">
        <f>0.09*B157</f>
        <v>599400</v>
      </c>
      <c r="C158" s="68">
        <f t="shared" ref="C158:F158" si="18">0.09*C157</f>
        <v>567000</v>
      </c>
      <c r="D158" s="68">
        <f t="shared" si="18"/>
        <v>648000</v>
      </c>
      <c r="E158" s="68">
        <f t="shared" si="18"/>
        <v>631800</v>
      </c>
      <c r="F158" s="68">
        <f t="shared" si="18"/>
        <v>2446200</v>
      </c>
    </row>
    <row r="159" spans="1:8" ht="18" x14ac:dyDescent="0.35">
      <c r="A159" s="65" t="s">
        <v>281</v>
      </c>
      <c r="B159" s="68">
        <f>B157+B158</f>
        <v>7259400</v>
      </c>
      <c r="C159" s="68">
        <f>C157+C158</f>
        <v>6867000</v>
      </c>
      <c r="D159" s="68">
        <f t="shared" ref="D159:E159" si="19">D157+D158</f>
        <v>7848000</v>
      </c>
      <c r="E159" s="68">
        <f t="shared" si="19"/>
        <v>7651800</v>
      </c>
      <c r="F159" s="68">
        <f>SUM(B159:E159)</f>
        <v>29626200</v>
      </c>
    </row>
    <row r="160" spans="1:8" ht="18" x14ac:dyDescent="0.35">
      <c r="A160" s="65" t="s">
        <v>282</v>
      </c>
      <c r="B160" s="68">
        <v>783600</v>
      </c>
      <c r="C160" s="68">
        <f>B158</f>
        <v>599400</v>
      </c>
      <c r="D160" s="68">
        <f>C158</f>
        <v>567000</v>
      </c>
      <c r="E160" s="68">
        <f>D158</f>
        <v>648000</v>
      </c>
      <c r="F160" s="68">
        <f>SUM(B160:E160)</f>
        <v>2598000</v>
      </c>
    </row>
    <row r="161" spans="1:6" ht="18" x14ac:dyDescent="0.35">
      <c r="A161" s="65" t="s">
        <v>283</v>
      </c>
      <c r="B161" s="68">
        <f>B159-B160</f>
        <v>6475800</v>
      </c>
      <c r="C161" s="68">
        <f>C159-C160</f>
        <v>6267600</v>
      </c>
      <c r="D161" s="68">
        <f t="shared" ref="D161:E161" si="20">D159-D160</f>
        <v>7281000</v>
      </c>
      <c r="E161" s="68">
        <f t="shared" si="20"/>
        <v>7003800</v>
      </c>
      <c r="F161" s="69">
        <f>SUM(B161:E161)</f>
        <v>27028200</v>
      </c>
    </row>
    <row r="163" spans="1:6" ht="18" x14ac:dyDescent="0.35">
      <c r="A163" s="114" t="s">
        <v>284</v>
      </c>
      <c r="B163" s="114"/>
      <c r="C163" s="114"/>
      <c r="D163" s="114"/>
      <c r="E163" s="114"/>
      <c r="F163" s="114"/>
    </row>
    <row r="164" spans="1:6" ht="18" x14ac:dyDescent="0.35">
      <c r="A164" s="65"/>
      <c r="B164" s="65" t="s">
        <v>266</v>
      </c>
      <c r="C164" s="65" t="s">
        <v>271</v>
      </c>
      <c r="D164" s="65" t="s">
        <v>272</v>
      </c>
      <c r="E164" s="65" t="s">
        <v>273</v>
      </c>
      <c r="F164" s="65" t="s">
        <v>274</v>
      </c>
    </row>
    <row r="165" spans="1:6" ht="18" x14ac:dyDescent="0.35">
      <c r="A165" s="70" t="s">
        <v>285</v>
      </c>
      <c r="B165" s="66">
        <f>B157</f>
        <v>6660000</v>
      </c>
      <c r="C165" s="66">
        <f t="shared" ref="C165:E165" si="21">C157</f>
        <v>6300000</v>
      </c>
      <c r="D165" s="66">
        <f t="shared" si="21"/>
        <v>7200000</v>
      </c>
      <c r="E165" s="66">
        <f t="shared" si="21"/>
        <v>7020000</v>
      </c>
      <c r="F165" s="66">
        <f>F157</f>
        <v>27180000</v>
      </c>
    </row>
    <row r="166" spans="1:6" ht="18" x14ac:dyDescent="0.35">
      <c r="A166" s="70" t="s">
        <v>286</v>
      </c>
      <c r="B166" s="69">
        <f>(23.31*1000 *260)/B165</f>
        <v>0.91</v>
      </c>
      <c r="C166" s="69">
        <f t="shared" ref="C166" si="22">(23.31*1000 *260)/C165</f>
        <v>0.96199999999999997</v>
      </c>
      <c r="D166" s="69">
        <f>(24.01*1000 *260)/D165</f>
        <v>0.86702777777777773</v>
      </c>
      <c r="E166" s="69">
        <f>(23.71*1000 *260)/E165</f>
        <v>0.87814814814814812</v>
      </c>
      <c r="F166" s="69"/>
    </row>
    <row r="167" spans="1:6" ht="18" x14ac:dyDescent="0.35">
      <c r="A167" s="70" t="s">
        <v>287</v>
      </c>
      <c r="B167" s="67">
        <f>B165*B166</f>
        <v>6060600</v>
      </c>
      <c r="C167" s="67">
        <f>C165*C166</f>
        <v>6060600</v>
      </c>
      <c r="D167" s="67">
        <f t="shared" ref="D167:E167" si="23">D165*D166</f>
        <v>6242600</v>
      </c>
      <c r="E167" s="67">
        <f t="shared" si="23"/>
        <v>6164600</v>
      </c>
      <c r="F167" s="67">
        <f>SUM(B167:E167)</f>
        <v>24528400</v>
      </c>
    </row>
    <row r="168" spans="1:6" ht="18" x14ac:dyDescent="0.35">
      <c r="A168" s="70" t="s">
        <v>288</v>
      </c>
      <c r="B168" s="67">
        <f>B158*B166</f>
        <v>545454</v>
      </c>
      <c r="C168" s="67">
        <f t="shared" ref="C168:E168" si="24">C158*C166</f>
        <v>545454</v>
      </c>
      <c r="D168" s="67">
        <f t="shared" si="24"/>
        <v>561834</v>
      </c>
      <c r="E168" s="67">
        <f t="shared" si="24"/>
        <v>554814</v>
      </c>
      <c r="F168" s="67">
        <f>SUM(B168:E168)</f>
        <v>2207556</v>
      </c>
    </row>
    <row r="169" spans="1:6" ht="18" x14ac:dyDescent="0.35">
      <c r="A169" s="70" t="s">
        <v>262</v>
      </c>
      <c r="B169" s="67">
        <f>B166*B160</f>
        <v>713076</v>
      </c>
      <c r="C169" s="67">
        <f t="shared" ref="C169:E169" si="25">C166*C160</f>
        <v>576622.79999999993</v>
      </c>
      <c r="D169" s="67">
        <f t="shared" si="25"/>
        <v>491604.75</v>
      </c>
      <c r="E169" s="67">
        <f t="shared" si="25"/>
        <v>569040</v>
      </c>
      <c r="F169" s="67">
        <f>SUM(B169:E169)</f>
        <v>2350343.5499999998</v>
      </c>
    </row>
    <row r="170" spans="1:6" ht="18" x14ac:dyDescent="0.35">
      <c r="A170" s="70" t="s">
        <v>289</v>
      </c>
      <c r="B170" s="67">
        <f>B161*B166</f>
        <v>5892978</v>
      </c>
      <c r="C170" s="67">
        <f t="shared" ref="C170:E170" si="26">C161*C166</f>
        <v>6029431.2000000002</v>
      </c>
      <c r="D170" s="67">
        <f t="shared" si="26"/>
        <v>6312829.25</v>
      </c>
      <c r="E170" s="67">
        <f t="shared" si="26"/>
        <v>6150374</v>
      </c>
      <c r="F170" s="67">
        <f>SUM(B170:E170)</f>
        <v>24385612.449999999</v>
      </c>
    </row>
    <row r="172" spans="1:6" ht="18" x14ac:dyDescent="0.35">
      <c r="A172" s="114" t="s">
        <v>290</v>
      </c>
      <c r="B172" s="114"/>
      <c r="C172" s="114"/>
      <c r="D172" s="114"/>
      <c r="E172" s="114"/>
      <c r="F172" s="114"/>
    </row>
    <row r="173" spans="1:6" ht="18" x14ac:dyDescent="0.35">
      <c r="A173" s="65"/>
      <c r="B173" s="65" t="s">
        <v>266</v>
      </c>
      <c r="C173" s="65" t="s">
        <v>271</v>
      </c>
      <c r="D173" s="65" t="s">
        <v>272</v>
      </c>
      <c r="E173" s="65" t="s">
        <v>273</v>
      </c>
      <c r="F173" s="65" t="s">
        <v>274</v>
      </c>
    </row>
    <row r="174" spans="1:6" ht="18" x14ac:dyDescent="0.35">
      <c r="A174" s="65" t="s">
        <v>283</v>
      </c>
      <c r="B174" s="66">
        <f>B161</f>
        <v>6475800</v>
      </c>
      <c r="C174" s="66">
        <f t="shared" ref="C174:F174" si="27">C161</f>
        <v>6267600</v>
      </c>
      <c r="D174" s="66">
        <f t="shared" si="27"/>
        <v>7281000</v>
      </c>
      <c r="E174" s="66">
        <f t="shared" si="27"/>
        <v>7003800</v>
      </c>
      <c r="F174" s="66">
        <f t="shared" si="27"/>
        <v>27028200</v>
      </c>
    </row>
    <row r="175" spans="1:6" ht="18" x14ac:dyDescent="0.35">
      <c r="A175" s="65" t="s">
        <v>291</v>
      </c>
      <c r="B175" s="71">
        <v>0.45</v>
      </c>
      <c r="C175" s="71">
        <v>0.4</v>
      </c>
      <c r="D175" s="71">
        <v>0.5</v>
      </c>
      <c r="E175" s="71">
        <v>0.48</v>
      </c>
      <c r="F175" s="71">
        <v>0.5</v>
      </c>
    </row>
    <row r="176" spans="1:6" ht="18" x14ac:dyDescent="0.35">
      <c r="A176" s="65" t="s">
        <v>292</v>
      </c>
      <c r="B176" s="72">
        <f>B174*B175</f>
        <v>2914110</v>
      </c>
      <c r="C176" s="72">
        <f t="shared" ref="C176:E176" si="28">C174*C175</f>
        <v>2507040</v>
      </c>
      <c r="D176" s="72">
        <f t="shared" si="28"/>
        <v>3640500</v>
      </c>
      <c r="E176" s="72">
        <f t="shared" si="28"/>
        <v>3361824</v>
      </c>
      <c r="F176" s="72">
        <f>SUM(B176:E176)</f>
        <v>12423474</v>
      </c>
    </row>
    <row r="178" spans="1:6" ht="18" x14ac:dyDescent="0.35">
      <c r="A178" s="114" t="s">
        <v>293</v>
      </c>
      <c r="B178" s="114"/>
      <c r="C178" s="114"/>
      <c r="D178" s="114"/>
      <c r="E178" s="114"/>
      <c r="F178" s="114"/>
    </row>
    <row r="179" spans="1:6" ht="18" x14ac:dyDescent="0.35">
      <c r="A179" s="65"/>
      <c r="B179" s="65" t="s">
        <v>266</v>
      </c>
      <c r="C179" s="65" t="s">
        <v>271</v>
      </c>
      <c r="D179" s="65" t="s">
        <v>272</v>
      </c>
      <c r="E179" s="65" t="s">
        <v>273</v>
      </c>
      <c r="F179" s="65" t="s">
        <v>274</v>
      </c>
    </row>
    <row r="180" spans="1:6" ht="18" x14ac:dyDescent="0.35">
      <c r="A180" s="65" t="s">
        <v>283</v>
      </c>
      <c r="B180" s="66">
        <f>B161</f>
        <v>6475800</v>
      </c>
      <c r="C180" s="66">
        <f t="shared" ref="C180:F180" si="29">C161</f>
        <v>6267600</v>
      </c>
      <c r="D180" s="66">
        <f t="shared" si="29"/>
        <v>7281000</v>
      </c>
      <c r="E180" s="66">
        <f t="shared" si="29"/>
        <v>7003800</v>
      </c>
      <c r="F180" s="66">
        <f t="shared" si="29"/>
        <v>27028200</v>
      </c>
    </row>
    <row r="181" spans="1:6" ht="18" x14ac:dyDescent="0.35">
      <c r="A181" s="65" t="s">
        <v>356</v>
      </c>
      <c r="B181" s="72">
        <f>B180*1.37</f>
        <v>8871846</v>
      </c>
      <c r="C181" s="72">
        <f t="shared" ref="C181:F181" si="30">C180*1.37</f>
        <v>8586612</v>
      </c>
      <c r="D181" s="72">
        <f t="shared" si="30"/>
        <v>9974970</v>
      </c>
      <c r="E181" s="72">
        <f t="shared" si="30"/>
        <v>9595206</v>
      </c>
      <c r="F181" s="72">
        <f t="shared" si="30"/>
        <v>37028634</v>
      </c>
    </row>
    <row r="182" spans="1:6" ht="18" x14ac:dyDescent="0.35">
      <c r="A182" s="65" t="s">
        <v>294</v>
      </c>
      <c r="B182" s="72">
        <f>2000000</f>
        <v>2000000</v>
      </c>
      <c r="C182" s="72">
        <f t="shared" ref="C182:E182" si="31">2000000</f>
        <v>2000000</v>
      </c>
      <c r="D182" s="72">
        <f t="shared" si="31"/>
        <v>2000000</v>
      </c>
      <c r="E182" s="72">
        <f t="shared" si="31"/>
        <v>2000000</v>
      </c>
      <c r="F182" s="72">
        <f>SUM(B182:E182)</f>
        <v>8000000</v>
      </c>
    </row>
    <row r="183" spans="1:6" ht="18" x14ac:dyDescent="0.35">
      <c r="A183" s="65" t="s">
        <v>295</v>
      </c>
      <c r="B183" s="69">
        <f>B181+B182</f>
        <v>10871846</v>
      </c>
      <c r="C183" s="72">
        <f t="shared" ref="C183:E183" si="32">C181+C182</f>
        <v>10586612</v>
      </c>
      <c r="D183" s="72">
        <f t="shared" si="32"/>
        <v>11974970</v>
      </c>
      <c r="E183" s="72">
        <f t="shared" si="32"/>
        <v>11595206</v>
      </c>
      <c r="F183" s="72">
        <f>F181+F182</f>
        <v>45028634</v>
      </c>
    </row>
    <row r="184" spans="1:6" x14ac:dyDescent="0.3">
      <c r="B184">
        <f>B183/B157</f>
        <v>1.6324093093093093</v>
      </c>
    </row>
    <row r="185" spans="1:6" ht="18" x14ac:dyDescent="0.35">
      <c r="A185" s="114" t="s">
        <v>296</v>
      </c>
      <c r="B185" s="114"/>
      <c r="C185" s="114"/>
      <c r="D185" s="114"/>
      <c r="E185" s="114"/>
      <c r="F185" s="114"/>
    </row>
    <row r="186" spans="1:6" ht="18" x14ac:dyDescent="0.35">
      <c r="A186" s="64"/>
      <c r="B186" s="65" t="s">
        <v>266</v>
      </c>
      <c r="C186" s="65" t="s">
        <v>271</v>
      </c>
      <c r="D186" s="65" t="s">
        <v>272</v>
      </c>
      <c r="E186" s="65" t="s">
        <v>273</v>
      </c>
      <c r="F186" s="65" t="s">
        <v>274</v>
      </c>
    </row>
    <row r="187" spans="1:6" ht="18" x14ac:dyDescent="0.35">
      <c r="A187" s="65" t="s">
        <v>297</v>
      </c>
      <c r="B187" s="73">
        <f>B151</f>
        <v>6660000</v>
      </c>
      <c r="C187" s="73">
        <f t="shared" ref="C187:F187" si="33">C151</f>
        <v>6300000</v>
      </c>
      <c r="D187" s="73">
        <f t="shared" si="33"/>
        <v>7200000</v>
      </c>
      <c r="E187" s="73">
        <f t="shared" si="33"/>
        <v>7020000</v>
      </c>
      <c r="F187" s="73">
        <f t="shared" si="33"/>
        <v>27090000</v>
      </c>
    </row>
    <row r="188" spans="1:6" ht="18" x14ac:dyDescent="0.35">
      <c r="A188" s="65" t="s">
        <v>349</v>
      </c>
      <c r="B188" s="72">
        <f>B187*B166</f>
        <v>6060600</v>
      </c>
      <c r="C188" s="72">
        <f t="shared" ref="C188:E188" si="34">C187*C166</f>
        <v>6060600</v>
      </c>
      <c r="D188" s="72">
        <f t="shared" si="34"/>
        <v>6242600</v>
      </c>
      <c r="E188" s="72">
        <f t="shared" si="34"/>
        <v>6164600</v>
      </c>
      <c r="F188" s="72">
        <f>SUM(B188:E188)</f>
        <v>24528400</v>
      </c>
    </row>
    <row r="189" spans="1:6" ht="18" x14ac:dyDescent="0.35">
      <c r="A189" s="65" t="s">
        <v>298</v>
      </c>
      <c r="B189" s="72">
        <f>B187*B175</f>
        <v>2997000</v>
      </c>
      <c r="C189" s="72">
        <f t="shared" ref="C189:E189" si="35">C187*C175</f>
        <v>2520000</v>
      </c>
      <c r="D189" s="72">
        <f t="shared" si="35"/>
        <v>3600000</v>
      </c>
      <c r="E189" s="72">
        <f t="shared" si="35"/>
        <v>3369600</v>
      </c>
      <c r="F189" s="72">
        <f>SUM(B189:E189)</f>
        <v>12486600</v>
      </c>
    </row>
    <row r="190" spans="1:6" ht="18" x14ac:dyDescent="0.35">
      <c r="A190" s="65" t="s">
        <v>299</v>
      </c>
      <c r="B190" s="72"/>
      <c r="C190" s="72"/>
      <c r="D190" s="72"/>
      <c r="E190" s="72"/>
      <c r="F190" s="72"/>
    </row>
    <row r="191" spans="1:6" ht="18" x14ac:dyDescent="0.35">
      <c r="A191" s="65" t="s">
        <v>355</v>
      </c>
      <c r="B191" s="72">
        <f>B187*1.37</f>
        <v>9124200</v>
      </c>
      <c r="C191" s="72">
        <f t="shared" ref="C191:F191" si="36">C187*1.37</f>
        <v>8631000</v>
      </c>
      <c r="D191" s="72">
        <f t="shared" si="36"/>
        <v>9864000</v>
      </c>
      <c r="E191" s="72">
        <f t="shared" si="36"/>
        <v>9617400</v>
      </c>
      <c r="F191" s="72">
        <f t="shared" si="36"/>
        <v>37113300</v>
      </c>
    </row>
    <row r="192" spans="1:6" ht="18" x14ac:dyDescent="0.35">
      <c r="A192" s="65" t="s">
        <v>263</v>
      </c>
      <c r="B192" s="72">
        <f>B182</f>
        <v>2000000</v>
      </c>
      <c r="C192" s="72">
        <f t="shared" ref="C192:E192" si="37">C182</f>
        <v>2000000</v>
      </c>
      <c r="D192" s="72">
        <f t="shared" si="37"/>
        <v>2000000</v>
      </c>
      <c r="E192" s="72">
        <f t="shared" si="37"/>
        <v>2000000</v>
      </c>
      <c r="F192" s="72">
        <f>SUM(B192:E192)</f>
        <v>8000000</v>
      </c>
    </row>
    <row r="193" spans="1:6" ht="18" x14ac:dyDescent="0.35">
      <c r="A193" s="65" t="s">
        <v>300</v>
      </c>
      <c r="B193" s="72">
        <f>SUM(B188:B192)</f>
        <v>20181800</v>
      </c>
      <c r="C193" s="72">
        <f>SUM(C188:C192)</f>
        <v>19211600</v>
      </c>
      <c r="D193" s="72">
        <f>SUM(D188:D192)</f>
        <v>21706600</v>
      </c>
      <c r="E193" s="72">
        <f t="shared" ref="E193:F193" si="38">SUM(E188:E192)</f>
        <v>21151600</v>
      </c>
      <c r="F193" s="72">
        <f t="shared" si="38"/>
        <v>82128300</v>
      </c>
    </row>
    <row r="195" spans="1:6" ht="18" x14ac:dyDescent="0.35">
      <c r="A195" s="114" t="s">
        <v>301</v>
      </c>
      <c r="B195" s="114"/>
      <c r="C195" s="114"/>
      <c r="D195" s="114"/>
      <c r="E195" s="114"/>
      <c r="F195" s="114"/>
    </row>
    <row r="196" spans="1:6" ht="18" x14ac:dyDescent="0.35">
      <c r="A196" s="64"/>
      <c r="B196" s="65" t="s">
        <v>266</v>
      </c>
      <c r="C196" s="65" t="s">
        <v>271</v>
      </c>
      <c r="D196" s="65" t="s">
        <v>272</v>
      </c>
      <c r="E196" s="65" t="s">
        <v>273</v>
      </c>
      <c r="F196" s="65" t="s">
        <v>274</v>
      </c>
    </row>
    <row r="197" spans="1:6" ht="18" x14ac:dyDescent="0.35">
      <c r="A197" s="65" t="s">
        <v>277</v>
      </c>
      <c r="B197" s="72">
        <f>B153</f>
        <v>23976000</v>
      </c>
      <c r="C197" s="72">
        <f t="shared" ref="C197:F197" si="39">C153</f>
        <v>22050000</v>
      </c>
      <c r="D197" s="72">
        <f t="shared" si="39"/>
        <v>27000000</v>
      </c>
      <c r="E197" s="72">
        <f t="shared" si="39"/>
        <v>25974000</v>
      </c>
      <c r="F197" s="72">
        <f t="shared" si="39"/>
        <v>99000000</v>
      </c>
    </row>
    <row r="198" spans="1:6" ht="18" x14ac:dyDescent="0.35">
      <c r="A198" s="65" t="s">
        <v>302</v>
      </c>
      <c r="B198" s="72"/>
      <c r="C198" s="72"/>
      <c r="D198" s="72"/>
      <c r="E198" s="72"/>
      <c r="F198" s="72"/>
    </row>
    <row r="199" spans="1:6" ht="18" x14ac:dyDescent="0.35">
      <c r="A199" s="65" t="s">
        <v>265</v>
      </c>
      <c r="B199" s="72">
        <f>0.07*B197</f>
        <v>1678320.0000000002</v>
      </c>
      <c r="C199" s="72">
        <f t="shared" ref="C199:E199" si="40">0.07*C197</f>
        <v>1543500.0000000002</v>
      </c>
      <c r="D199" s="72">
        <f t="shared" si="40"/>
        <v>1890000.0000000002</v>
      </c>
      <c r="E199" s="72">
        <f t="shared" si="40"/>
        <v>1818180.0000000002</v>
      </c>
      <c r="F199" s="72">
        <f>0.07*F197</f>
        <v>6930000.0000000009</v>
      </c>
    </row>
    <row r="200" spans="1:6" ht="18" x14ac:dyDescent="0.35">
      <c r="A200" s="65" t="s">
        <v>303</v>
      </c>
      <c r="B200" s="72"/>
      <c r="C200" s="72"/>
      <c r="D200" s="72"/>
      <c r="E200" s="72"/>
      <c r="F200" s="72"/>
    </row>
    <row r="201" spans="1:6" ht="18" x14ac:dyDescent="0.35">
      <c r="A201" s="65" t="s">
        <v>304</v>
      </c>
      <c r="B201" s="72">
        <v>55000</v>
      </c>
      <c r="C201" s="72">
        <v>55000</v>
      </c>
      <c r="D201" s="72">
        <v>55000</v>
      </c>
      <c r="E201" s="72">
        <v>55000</v>
      </c>
      <c r="F201" s="72">
        <f>SUM(B201:E201)</f>
        <v>220000</v>
      </c>
    </row>
    <row r="202" spans="1:6" ht="18" x14ac:dyDescent="0.35">
      <c r="A202" s="65" t="s">
        <v>305</v>
      </c>
      <c r="B202" s="72">
        <v>25000</v>
      </c>
      <c r="C202" s="72">
        <v>25000</v>
      </c>
      <c r="D202" s="72">
        <v>25000</v>
      </c>
      <c r="E202" s="72">
        <v>25000</v>
      </c>
      <c r="F202" s="72">
        <f>SUM(B202:E202)</f>
        <v>100000</v>
      </c>
    </row>
    <row r="203" spans="1:6" ht="18" x14ac:dyDescent="0.35">
      <c r="A203" s="65" t="s">
        <v>306</v>
      </c>
      <c r="B203" s="72">
        <v>500</v>
      </c>
      <c r="C203" s="72">
        <v>500</v>
      </c>
      <c r="D203" s="72">
        <v>500</v>
      </c>
      <c r="E203" s="72">
        <v>500</v>
      </c>
      <c r="F203" s="72">
        <f>SUM(B203:E203)</f>
        <v>2000</v>
      </c>
    </row>
    <row r="204" spans="1:6" ht="18" x14ac:dyDescent="0.35">
      <c r="A204" s="65" t="s">
        <v>264</v>
      </c>
      <c r="B204" s="72">
        <f>SUM(B199:B203)</f>
        <v>1758820.0000000002</v>
      </c>
      <c r="C204" s="72">
        <f t="shared" ref="C204:F204" si="41">SUM(C199:C203)</f>
        <v>1624000.0000000002</v>
      </c>
      <c r="D204" s="72">
        <f t="shared" si="41"/>
        <v>1970500.0000000002</v>
      </c>
      <c r="E204" s="72">
        <f t="shared" si="41"/>
        <v>1898680.0000000002</v>
      </c>
      <c r="F204" s="72">
        <f t="shared" si="41"/>
        <v>7252000.0000000009</v>
      </c>
    </row>
    <row r="205" spans="1:6" x14ac:dyDescent="0.3">
      <c r="B205" s="81">
        <f>B204/B165</f>
        <v>0.26408708708708711</v>
      </c>
    </row>
    <row r="206" spans="1:6" ht="18" x14ac:dyDescent="0.35">
      <c r="A206" s="114" t="s">
        <v>307</v>
      </c>
      <c r="B206" s="114"/>
      <c r="C206" s="114"/>
      <c r="D206" s="114"/>
      <c r="E206" s="114"/>
      <c r="F206" s="114"/>
    </row>
    <row r="207" spans="1:6" ht="18" x14ac:dyDescent="0.35">
      <c r="A207" s="64"/>
      <c r="B207" s="65" t="s">
        <v>266</v>
      </c>
      <c r="C207" s="65" t="s">
        <v>271</v>
      </c>
      <c r="D207" s="65" t="s">
        <v>272</v>
      </c>
      <c r="E207" s="65" t="s">
        <v>273</v>
      </c>
      <c r="F207" s="65" t="s">
        <v>274</v>
      </c>
    </row>
    <row r="208" spans="1:6" ht="18" x14ac:dyDescent="0.35">
      <c r="A208" s="65" t="s">
        <v>308</v>
      </c>
      <c r="B208" s="74"/>
      <c r="C208" s="74"/>
      <c r="D208" s="74"/>
      <c r="E208" s="74"/>
      <c r="F208" s="74"/>
    </row>
    <row r="209" spans="1:6" ht="18" x14ac:dyDescent="0.35">
      <c r="A209" s="65" t="s">
        <v>309</v>
      </c>
      <c r="B209" s="74"/>
      <c r="C209" s="74"/>
      <c r="D209" s="74"/>
      <c r="E209" s="74"/>
      <c r="F209" s="74"/>
    </row>
    <row r="210" spans="1:6" ht="18" x14ac:dyDescent="0.35">
      <c r="A210" s="65" t="s">
        <v>310</v>
      </c>
      <c r="B210" s="72">
        <f>320*500*3</f>
        <v>480000</v>
      </c>
      <c r="C210" s="72">
        <f t="shared" ref="C210:E210" si="42">320*500*3</f>
        <v>480000</v>
      </c>
      <c r="D210" s="72">
        <f t="shared" si="42"/>
        <v>480000</v>
      </c>
      <c r="E210" s="72">
        <f t="shared" si="42"/>
        <v>480000</v>
      </c>
      <c r="F210" s="72">
        <f>SUM(B210:E210)</f>
        <v>1920000</v>
      </c>
    </row>
    <row r="211" spans="1:6" ht="18" x14ac:dyDescent="0.35">
      <c r="A211" s="65" t="s">
        <v>311</v>
      </c>
      <c r="B211" s="85">
        <v>50000</v>
      </c>
      <c r="C211" s="85">
        <v>50000</v>
      </c>
      <c r="D211" s="85">
        <v>50000</v>
      </c>
      <c r="E211" s="85">
        <v>50000</v>
      </c>
      <c r="F211" s="72">
        <f t="shared" ref="F211:F215" si="43">SUM(B211:E211)</f>
        <v>200000</v>
      </c>
    </row>
    <row r="212" spans="1:6" ht="18" x14ac:dyDescent="0.35">
      <c r="A212" s="65" t="s">
        <v>312</v>
      </c>
      <c r="B212" s="85">
        <v>287</v>
      </c>
      <c r="C212" s="85">
        <v>287</v>
      </c>
      <c r="D212" s="85">
        <v>287</v>
      </c>
      <c r="E212" s="85">
        <v>287</v>
      </c>
      <c r="F212" s="72">
        <f t="shared" si="43"/>
        <v>1148</v>
      </c>
    </row>
    <row r="213" spans="1:6" ht="18" x14ac:dyDescent="0.35">
      <c r="A213" s="65" t="s">
        <v>313</v>
      </c>
      <c r="B213" s="85">
        <v>60000</v>
      </c>
      <c r="C213" s="85">
        <v>50000</v>
      </c>
      <c r="D213" s="85">
        <v>70000</v>
      </c>
      <c r="E213" s="85">
        <v>65000</v>
      </c>
      <c r="F213" s="72">
        <f t="shared" si="43"/>
        <v>245000</v>
      </c>
    </row>
    <row r="214" spans="1:6" ht="18" x14ac:dyDescent="0.35">
      <c r="A214" s="65" t="s">
        <v>314</v>
      </c>
      <c r="B214" s="85">
        <v>500</v>
      </c>
      <c r="C214" s="85">
        <v>500</v>
      </c>
      <c r="D214" s="85">
        <v>500</v>
      </c>
      <c r="E214" s="85">
        <v>500</v>
      </c>
      <c r="F214" s="72">
        <f t="shared" si="43"/>
        <v>2000</v>
      </c>
    </row>
    <row r="215" spans="1:6" ht="18" x14ac:dyDescent="0.35">
      <c r="A215" s="65" t="s">
        <v>315</v>
      </c>
      <c r="B215" s="86">
        <f>SUM(B210:B214)</f>
        <v>590787</v>
      </c>
      <c r="C215" s="86">
        <f t="shared" ref="C215:E215" si="44">SUM(C210:C214)</f>
        <v>580787</v>
      </c>
      <c r="D215" s="86">
        <f t="shared" si="44"/>
        <v>600787</v>
      </c>
      <c r="E215" s="86">
        <f t="shared" si="44"/>
        <v>595787</v>
      </c>
      <c r="F215" s="87">
        <f t="shared" si="43"/>
        <v>2368148</v>
      </c>
    </row>
    <row r="216" spans="1:6" x14ac:dyDescent="0.3">
      <c r="B216" s="81">
        <f>B215/B187</f>
        <v>8.8706756756756752E-2</v>
      </c>
    </row>
    <row r="217" spans="1:6" ht="18" x14ac:dyDescent="0.35">
      <c r="A217" s="114" t="s">
        <v>316</v>
      </c>
      <c r="B217" s="114"/>
      <c r="C217" s="114"/>
      <c r="D217" s="114"/>
      <c r="E217" s="114"/>
      <c r="F217" s="114"/>
    </row>
    <row r="218" spans="1:6" ht="18" x14ac:dyDescent="0.35">
      <c r="A218" s="64"/>
      <c r="B218" s="65" t="s">
        <v>266</v>
      </c>
      <c r="C218" s="65" t="s">
        <v>271</v>
      </c>
      <c r="D218" s="65" t="s">
        <v>272</v>
      </c>
      <c r="E218" s="65" t="s">
        <v>273</v>
      </c>
      <c r="F218" s="65" t="s">
        <v>274</v>
      </c>
    </row>
    <row r="219" spans="1:6" ht="18" x14ac:dyDescent="0.35">
      <c r="A219" s="65" t="s">
        <v>317</v>
      </c>
      <c r="B219" s="72">
        <f>B153</f>
        <v>23976000</v>
      </c>
      <c r="C219" s="72">
        <f>C153</f>
        <v>22050000</v>
      </c>
      <c r="D219" s="72">
        <f t="shared" ref="D219:E219" si="45">D153</f>
        <v>27000000</v>
      </c>
      <c r="E219" s="72">
        <f t="shared" si="45"/>
        <v>25974000</v>
      </c>
      <c r="F219" s="72">
        <f>SUM(B219:E219)</f>
        <v>99000000</v>
      </c>
    </row>
    <row r="220" spans="1:6" ht="18" x14ac:dyDescent="0.35">
      <c r="A220" s="65" t="s">
        <v>318</v>
      </c>
      <c r="B220" s="67">
        <f>B193</f>
        <v>20181800</v>
      </c>
      <c r="C220" s="67">
        <f t="shared" ref="C220:E220" si="46">C193</f>
        <v>19211600</v>
      </c>
      <c r="D220" s="67">
        <f t="shared" si="46"/>
        <v>21706600</v>
      </c>
      <c r="E220" s="67">
        <f t="shared" si="46"/>
        <v>21151600</v>
      </c>
      <c r="F220" s="72">
        <f>SUM(B220:E220)</f>
        <v>82251600</v>
      </c>
    </row>
    <row r="221" spans="1:6" ht="18" x14ac:dyDescent="0.35">
      <c r="A221" s="65" t="s">
        <v>319</v>
      </c>
      <c r="B221" s="67">
        <f>B219-B220</f>
        <v>3794200</v>
      </c>
      <c r="C221" s="67">
        <f>C219-C220</f>
        <v>2838400</v>
      </c>
      <c r="D221" s="67">
        <f>D219-D220</f>
        <v>5293400</v>
      </c>
      <c r="E221" s="67">
        <f>E219-E220</f>
        <v>4822400</v>
      </c>
      <c r="F221" s="72">
        <f t="shared" ref="F221:F229" si="47">SUM(B221:E221)</f>
        <v>16748400</v>
      </c>
    </row>
    <row r="222" spans="1:6" ht="18" x14ac:dyDescent="0.35">
      <c r="A222" s="65" t="s">
        <v>320</v>
      </c>
      <c r="B222" s="69"/>
      <c r="C222" s="69"/>
      <c r="D222" s="69"/>
      <c r="E222" s="69"/>
      <c r="F222" s="72"/>
    </row>
    <row r="223" spans="1:6" ht="18" x14ac:dyDescent="0.35">
      <c r="A223" s="65" t="s">
        <v>321</v>
      </c>
      <c r="B223" s="67">
        <f>B204</f>
        <v>1758820.0000000002</v>
      </c>
      <c r="C223" s="67">
        <f t="shared" ref="C223:E223" si="48">C204</f>
        <v>1624000.0000000002</v>
      </c>
      <c r="D223" s="67">
        <f t="shared" si="48"/>
        <v>1970500.0000000002</v>
      </c>
      <c r="E223" s="67">
        <f t="shared" si="48"/>
        <v>1898680.0000000002</v>
      </c>
      <c r="F223" s="72">
        <f t="shared" si="47"/>
        <v>7252000.0000000009</v>
      </c>
    </row>
    <row r="224" spans="1:6" ht="18" x14ac:dyDescent="0.35">
      <c r="A224" s="65" t="s">
        <v>322</v>
      </c>
      <c r="B224" s="72">
        <f>B215</f>
        <v>590787</v>
      </c>
      <c r="C224" s="72">
        <f t="shared" ref="C224:E224" si="49">C215</f>
        <v>580787</v>
      </c>
      <c r="D224" s="72">
        <f t="shared" si="49"/>
        <v>600787</v>
      </c>
      <c r="E224" s="72">
        <f t="shared" si="49"/>
        <v>595787</v>
      </c>
      <c r="F224" s="72">
        <f t="shared" si="47"/>
        <v>2368148</v>
      </c>
    </row>
    <row r="225" spans="1:8" ht="18" x14ac:dyDescent="0.35">
      <c r="A225" s="65" t="s">
        <v>323</v>
      </c>
      <c r="B225" s="82">
        <f>B221-(B223+B224)</f>
        <v>1444593</v>
      </c>
      <c r="C225" s="82">
        <f t="shared" ref="C225:E225" si="50">C221-(C223+C224)</f>
        <v>633613</v>
      </c>
      <c r="D225" s="82">
        <f t="shared" si="50"/>
        <v>2722113</v>
      </c>
      <c r="E225" s="82">
        <f t="shared" si="50"/>
        <v>2327933</v>
      </c>
      <c r="F225" s="72">
        <f t="shared" si="47"/>
        <v>7128252</v>
      </c>
    </row>
    <row r="226" spans="1:8" ht="18" x14ac:dyDescent="0.35">
      <c r="A226" s="65" t="s">
        <v>324</v>
      </c>
      <c r="B226" s="69"/>
      <c r="C226" s="69"/>
      <c r="D226" s="69"/>
      <c r="E226" s="69"/>
      <c r="F226" s="72"/>
    </row>
    <row r="227" spans="1:8" ht="18" x14ac:dyDescent="0.35">
      <c r="A227" s="65" t="s">
        <v>325</v>
      </c>
      <c r="B227" s="67">
        <f>B225</f>
        <v>1444593</v>
      </c>
      <c r="C227" s="67">
        <f t="shared" ref="C227:E227" si="51">C225</f>
        <v>633613</v>
      </c>
      <c r="D227" s="67">
        <f t="shared" si="51"/>
        <v>2722113</v>
      </c>
      <c r="E227" s="67">
        <f t="shared" si="51"/>
        <v>2327933</v>
      </c>
      <c r="F227" s="72">
        <f t="shared" si="47"/>
        <v>7128252</v>
      </c>
    </row>
    <row r="228" spans="1:8" ht="18" x14ac:dyDescent="0.35">
      <c r="A228" s="65" t="s">
        <v>350</v>
      </c>
      <c r="B228" s="75">
        <f>B227*0.16</f>
        <v>231134.88</v>
      </c>
      <c r="C228" s="75">
        <f t="shared" ref="C228:D228" si="52">C227*0.16</f>
        <v>101378.08</v>
      </c>
      <c r="D228" s="75">
        <f t="shared" si="52"/>
        <v>435538.08</v>
      </c>
      <c r="E228" s="75">
        <f>E227*0.16</f>
        <v>372469.28</v>
      </c>
      <c r="F228" s="72">
        <f t="shared" si="47"/>
        <v>1140520.32</v>
      </c>
    </row>
    <row r="229" spans="1:8" ht="18" x14ac:dyDescent="0.35">
      <c r="A229" s="65" t="s">
        <v>326</v>
      </c>
      <c r="B229" s="75">
        <f>B227-B228</f>
        <v>1213458.1200000001</v>
      </c>
      <c r="C229" s="75">
        <f t="shared" ref="C229:E229" si="53">C227-C228</f>
        <v>532234.92000000004</v>
      </c>
      <c r="D229" s="75">
        <f t="shared" si="53"/>
        <v>2286574.92</v>
      </c>
      <c r="E229" s="75">
        <f t="shared" si="53"/>
        <v>1955463.72</v>
      </c>
      <c r="F229" s="72">
        <f t="shared" si="47"/>
        <v>5987731.6799999997</v>
      </c>
    </row>
    <row r="231" spans="1:8" ht="18" x14ac:dyDescent="0.35">
      <c r="A231" s="114" t="s">
        <v>327</v>
      </c>
      <c r="B231" s="114"/>
      <c r="C231" s="114"/>
      <c r="D231" s="114"/>
      <c r="E231" s="114"/>
      <c r="F231" s="114"/>
      <c r="G231" s="114"/>
      <c r="H231" s="59"/>
    </row>
    <row r="232" spans="1:8" ht="18" x14ac:dyDescent="0.35">
      <c r="A232" s="64" t="s">
        <v>328</v>
      </c>
      <c r="B232" s="76">
        <v>0</v>
      </c>
      <c r="C232" s="76">
        <v>1</v>
      </c>
      <c r="D232" s="76">
        <v>2</v>
      </c>
      <c r="E232" s="76">
        <v>3</v>
      </c>
      <c r="F232" s="76">
        <v>4</v>
      </c>
      <c r="G232" s="76">
        <v>5</v>
      </c>
      <c r="H232" s="69"/>
    </row>
    <row r="233" spans="1:8" ht="18" x14ac:dyDescent="0.35">
      <c r="A233" s="74" t="s">
        <v>329</v>
      </c>
      <c r="B233" s="69"/>
      <c r="C233" s="80">
        <v>90745678</v>
      </c>
      <c r="D233" s="77">
        <v>86894671</v>
      </c>
      <c r="E233" s="77">
        <v>93376789</v>
      </c>
      <c r="F233" s="77">
        <v>92908038</v>
      </c>
      <c r="G233" s="77">
        <v>90486828</v>
      </c>
      <c r="H233" s="77"/>
    </row>
    <row r="234" spans="1:8" ht="18" x14ac:dyDescent="0.35">
      <c r="A234" s="74" t="s">
        <v>330</v>
      </c>
      <c r="B234" s="74"/>
      <c r="C234" s="74"/>
      <c r="D234" s="74"/>
      <c r="E234" s="74"/>
      <c r="F234" s="74"/>
      <c r="G234" s="74"/>
      <c r="H234" s="74"/>
    </row>
    <row r="235" spans="1:8" ht="18" x14ac:dyDescent="0.35">
      <c r="A235" s="74" t="s">
        <v>331</v>
      </c>
      <c r="B235" s="74"/>
      <c r="C235" s="77">
        <f>B189*4</f>
        <v>11988000</v>
      </c>
      <c r="D235" s="77">
        <f t="shared" ref="D235:F235" si="54">C189*4</f>
        <v>10080000</v>
      </c>
      <c r="E235" s="77">
        <f t="shared" si="54"/>
        <v>14400000</v>
      </c>
      <c r="F235" s="77">
        <f t="shared" si="54"/>
        <v>13478400</v>
      </c>
      <c r="G235" s="77">
        <f>12785643</f>
        <v>12785643</v>
      </c>
      <c r="H235" s="77"/>
    </row>
    <row r="236" spans="1:8" ht="18" x14ac:dyDescent="0.35">
      <c r="A236" s="74" t="s">
        <v>267</v>
      </c>
      <c r="B236" s="74"/>
      <c r="C236" s="77">
        <f>B188*3.8</f>
        <v>23030280</v>
      </c>
      <c r="D236" s="77">
        <f t="shared" ref="D236:F236" si="55">C188*3.8</f>
        <v>23030280</v>
      </c>
      <c r="E236" s="77">
        <f t="shared" si="55"/>
        <v>23721880</v>
      </c>
      <c r="F236" s="77">
        <f t="shared" si="55"/>
        <v>23425480</v>
      </c>
      <c r="G236" s="77">
        <f>22457895</f>
        <v>22457895</v>
      </c>
      <c r="H236" s="77"/>
    </row>
    <row r="237" spans="1:8" ht="18" x14ac:dyDescent="0.35">
      <c r="A237" s="74" t="s">
        <v>332</v>
      </c>
      <c r="B237" s="74"/>
      <c r="C237" s="77">
        <f>B183*3.6</f>
        <v>39138645.600000001</v>
      </c>
      <c r="D237" s="77">
        <f t="shared" ref="D237:F237" si="56">C183*3.6</f>
        <v>38111803.200000003</v>
      </c>
      <c r="E237" s="77">
        <f t="shared" si="56"/>
        <v>43109892</v>
      </c>
      <c r="F237" s="77">
        <f t="shared" si="56"/>
        <v>41742741.600000001</v>
      </c>
      <c r="G237" s="77">
        <f>37678945</f>
        <v>37678945</v>
      </c>
      <c r="H237" s="77"/>
    </row>
    <row r="238" spans="1:8" ht="18" x14ac:dyDescent="0.35">
      <c r="A238" s="74" t="s">
        <v>268</v>
      </c>
      <c r="B238" s="74"/>
      <c r="C238" s="74">
        <f>14.29%*61786875</f>
        <v>8829344.4375</v>
      </c>
      <c r="D238" s="74">
        <f>24.49%*61786875</f>
        <v>15131605.687499998</v>
      </c>
      <c r="E238" s="74">
        <f>17.49%*61786875</f>
        <v>10806524.437499998</v>
      </c>
      <c r="F238" s="74">
        <f>12.49%*61786875</f>
        <v>7717180.6875</v>
      </c>
      <c r="G238" s="74">
        <f>4.47%*61786875</f>
        <v>2761873.3125</v>
      </c>
      <c r="H238" s="74"/>
    </row>
    <row r="239" spans="1:8" ht="18" x14ac:dyDescent="0.35">
      <c r="A239" s="74" t="s">
        <v>333</v>
      </c>
      <c r="B239" s="74"/>
      <c r="C239" s="77">
        <f>C233-(SUM(C235:C238))</f>
        <v>7759407.962500006</v>
      </c>
      <c r="D239" s="77">
        <f t="shared" ref="D239:G239" si="57">D233-(SUM(D235:D238))</f>
        <v>540982.11249999702</v>
      </c>
      <c r="E239" s="77">
        <f t="shared" si="57"/>
        <v>1338492.5625</v>
      </c>
      <c r="F239" s="77">
        <f t="shared" si="57"/>
        <v>6544235.712500006</v>
      </c>
      <c r="G239" s="77">
        <f t="shared" si="57"/>
        <v>14802471.6875</v>
      </c>
      <c r="H239" s="74"/>
    </row>
    <row r="240" spans="1:8" ht="18" x14ac:dyDescent="0.35">
      <c r="A240" s="74" t="s">
        <v>334</v>
      </c>
      <c r="B240" s="74"/>
      <c r="C240" s="74">
        <f>0.16*C239</f>
        <v>1241505.2740000009</v>
      </c>
      <c r="D240" s="74">
        <f t="shared" ref="D240:G240" si="58">0.16*D239</f>
        <v>86557.137999999526</v>
      </c>
      <c r="E240" s="74">
        <f t="shared" si="58"/>
        <v>214158.81</v>
      </c>
      <c r="F240" s="74">
        <f t="shared" si="58"/>
        <v>1047077.714000001</v>
      </c>
      <c r="G240" s="74">
        <f t="shared" si="58"/>
        <v>2368395.4700000002</v>
      </c>
      <c r="H240" s="74"/>
    </row>
    <row r="241" spans="1:8" ht="18" x14ac:dyDescent="0.35">
      <c r="A241" s="74" t="s">
        <v>326</v>
      </c>
      <c r="B241" s="74"/>
      <c r="C241" s="77">
        <f>C239-C240</f>
        <v>6517902.6885000048</v>
      </c>
      <c r="D241" s="77">
        <f t="shared" ref="D241:G241" si="59">D239-D240</f>
        <v>454424.97449999751</v>
      </c>
      <c r="E241" s="77">
        <f t="shared" si="59"/>
        <v>1124333.7524999999</v>
      </c>
      <c r="F241" s="77">
        <f t="shared" si="59"/>
        <v>5497157.9985000053</v>
      </c>
      <c r="G241" s="77">
        <f t="shared" si="59"/>
        <v>12434076.217499999</v>
      </c>
      <c r="H241" s="74"/>
    </row>
    <row r="242" spans="1:8" ht="18" x14ac:dyDescent="0.35">
      <c r="A242" s="114" t="s">
        <v>335</v>
      </c>
      <c r="B242" s="114"/>
      <c r="C242" s="114"/>
      <c r="D242" s="114"/>
      <c r="E242" s="114"/>
      <c r="F242" s="114"/>
      <c r="G242" s="114"/>
      <c r="H242" s="114"/>
    </row>
    <row r="243" spans="1:8" ht="18" x14ac:dyDescent="0.35">
      <c r="A243" s="74" t="s">
        <v>269</v>
      </c>
      <c r="B243" s="74">
        <v>0</v>
      </c>
      <c r="C243" s="74">
        <v>1</v>
      </c>
      <c r="D243" s="74">
        <v>2</v>
      </c>
      <c r="E243" s="74">
        <v>3</v>
      </c>
      <c r="F243" s="74">
        <v>4</v>
      </c>
      <c r="G243" s="74">
        <v>5</v>
      </c>
      <c r="H243" s="74"/>
    </row>
    <row r="244" spans="1:8" ht="18" x14ac:dyDescent="0.35">
      <c r="A244" s="74" t="s">
        <v>326</v>
      </c>
      <c r="B244" s="74"/>
      <c r="C244" s="77">
        <f>C241</f>
        <v>6517902.6885000048</v>
      </c>
      <c r="D244" s="77">
        <f t="shared" ref="D244:F244" si="60">D241</f>
        <v>454424.97449999751</v>
      </c>
      <c r="E244" s="77">
        <f t="shared" si="60"/>
        <v>1124333.7524999999</v>
      </c>
      <c r="F244" s="77">
        <f t="shared" si="60"/>
        <v>5497157.9985000053</v>
      </c>
      <c r="G244" s="77">
        <f>G241</f>
        <v>12434076.217499999</v>
      </c>
      <c r="H244" s="74"/>
    </row>
    <row r="245" spans="1:8" ht="18" x14ac:dyDescent="0.35">
      <c r="A245" s="74" t="s">
        <v>268</v>
      </c>
      <c r="B245" s="74"/>
      <c r="C245" s="78">
        <f>C238</f>
        <v>8829344.4375</v>
      </c>
      <c r="D245" s="78">
        <f t="shared" ref="D245:F245" si="61">D238</f>
        <v>15131605.687499998</v>
      </c>
      <c r="E245" s="78">
        <f t="shared" si="61"/>
        <v>10806524.437499998</v>
      </c>
      <c r="F245" s="78">
        <f t="shared" si="61"/>
        <v>7717180.6875</v>
      </c>
      <c r="G245" s="78">
        <f>G238</f>
        <v>2761873.3125</v>
      </c>
      <c r="H245" s="78"/>
    </row>
    <row r="246" spans="1:8" ht="18" x14ac:dyDescent="0.35">
      <c r="A246" s="74" t="s">
        <v>336</v>
      </c>
      <c r="B246" s="74"/>
      <c r="C246" s="74"/>
      <c r="D246" s="74"/>
      <c r="E246" s="74"/>
      <c r="F246" s="74"/>
      <c r="G246" s="74"/>
      <c r="H246" s="77"/>
    </row>
    <row r="247" spans="1:8" ht="18" x14ac:dyDescent="0.35">
      <c r="A247" s="74" t="s">
        <v>337</v>
      </c>
      <c r="B247" s="77">
        <v>-61786875</v>
      </c>
      <c r="C247" s="77"/>
      <c r="D247" s="74"/>
      <c r="E247" s="74"/>
      <c r="F247" s="74"/>
      <c r="G247" s="74"/>
      <c r="H247" s="77"/>
    </row>
    <row r="248" spans="1:8" ht="18" x14ac:dyDescent="0.35">
      <c r="A248" s="74" t="s">
        <v>338</v>
      </c>
      <c r="B248" s="74"/>
      <c r="C248" s="74"/>
      <c r="D248" s="74"/>
      <c r="E248" s="74"/>
      <c r="F248" s="74"/>
      <c r="G248" s="77">
        <v>1200000</v>
      </c>
      <c r="H248" s="74"/>
    </row>
    <row r="249" spans="1:8" ht="18" x14ac:dyDescent="0.35">
      <c r="A249" s="74" t="s">
        <v>339</v>
      </c>
      <c r="B249" s="74"/>
      <c r="C249" s="74"/>
      <c r="D249" s="74"/>
      <c r="E249" s="74"/>
      <c r="F249" s="74"/>
      <c r="G249" s="74">
        <f>0.4*(-B247-SUM(C245:G245)-G248)</f>
        <v>6136138.5750000002</v>
      </c>
      <c r="H249" s="74"/>
    </row>
    <row r="250" spans="1:8" ht="18" x14ac:dyDescent="0.35">
      <c r="A250" s="74" t="s">
        <v>340</v>
      </c>
      <c r="B250" s="74">
        <f t="shared" ref="B250:G250" si="62">SUM(B244:B249)</f>
        <v>-61786875</v>
      </c>
      <c r="C250" s="77">
        <f t="shared" si="62"/>
        <v>15347247.126000006</v>
      </c>
      <c r="D250" s="77">
        <f t="shared" si="62"/>
        <v>15586030.661999995</v>
      </c>
      <c r="E250" s="74">
        <f t="shared" si="62"/>
        <v>11930858.189999998</v>
      </c>
      <c r="F250" s="77">
        <f t="shared" si="62"/>
        <v>13214338.686000004</v>
      </c>
      <c r="G250" s="79">
        <f t="shared" si="62"/>
        <v>22532088.105</v>
      </c>
      <c r="H250" s="74"/>
    </row>
    <row r="251" spans="1:8" ht="18" x14ac:dyDescent="0.35">
      <c r="C251" s="74"/>
      <c r="D251" s="74"/>
      <c r="E251" s="74"/>
      <c r="F251" s="74"/>
      <c r="G251" s="74"/>
    </row>
    <row r="252" spans="1:8" ht="18" x14ac:dyDescent="0.35">
      <c r="C252" s="74"/>
      <c r="D252" t="s">
        <v>351</v>
      </c>
      <c r="E252" s="74"/>
      <c r="F252" s="74"/>
      <c r="G252" s="74"/>
      <c r="H252" s="74"/>
    </row>
    <row r="253" spans="1:8" ht="18" x14ac:dyDescent="0.35">
      <c r="C253" s="74"/>
      <c r="D253" t="s">
        <v>352</v>
      </c>
      <c r="E253" s="74"/>
      <c r="F253" s="74"/>
      <c r="G253" s="74"/>
      <c r="H253" s="74"/>
    </row>
    <row r="254" spans="1:8" ht="18" x14ac:dyDescent="0.35">
      <c r="C254" s="74"/>
      <c r="D254" t="s">
        <v>353</v>
      </c>
      <c r="E254" s="74"/>
      <c r="F254" s="74"/>
      <c r="G254" s="74"/>
      <c r="H254" s="74"/>
    </row>
    <row r="255" spans="1:8" ht="18" x14ac:dyDescent="0.35">
      <c r="C255" s="74"/>
      <c r="D255" t="s">
        <v>354</v>
      </c>
      <c r="E255" s="74"/>
      <c r="F255" s="74"/>
      <c r="G255" s="74"/>
      <c r="H255" s="74"/>
    </row>
    <row r="256" spans="1:8" ht="18.600000000000001" thickBot="1" x14ac:dyDescent="0.4">
      <c r="A256" s="74" t="s">
        <v>345</v>
      </c>
      <c r="B256" s="103">
        <f>SUM(B257:B260)</f>
        <v>74292068121000</v>
      </c>
      <c r="C256" s="74"/>
      <c r="D256" s="74" t="s">
        <v>347</v>
      </c>
      <c r="E256" s="105">
        <f>IRR(B250:G250)</f>
        <v>8.1788988912165905E-2</v>
      </c>
      <c r="F256" s="74"/>
      <c r="G256" s="74"/>
      <c r="H256" s="74"/>
    </row>
    <row r="257" spans="1:8" ht="18.600000000000001" thickBot="1" x14ac:dyDescent="0.4">
      <c r="A257" s="74" t="s">
        <v>341</v>
      </c>
      <c r="B257" s="103">
        <f>(B151/4)*2*3.7</f>
        <v>12321000</v>
      </c>
      <c r="D257" s="106" t="s">
        <v>328</v>
      </c>
      <c r="E257" s="107" t="s">
        <v>358</v>
      </c>
      <c r="F257" t="s">
        <v>359</v>
      </c>
      <c r="H257" s="74"/>
    </row>
    <row r="258" spans="1:8" ht="18.600000000000001" thickBot="1" x14ac:dyDescent="0.4">
      <c r="A258" s="74" t="s">
        <v>342</v>
      </c>
      <c r="B258" s="104">
        <f>B151*2*(B183+B176+B170)/3</f>
        <v>87374466960000</v>
      </c>
      <c r="D258" s="108">
        <v>0</v>
      </c>
      <c r="E258" s="109">
        <f>B250</f>
        <v>-61786875</v>
      </c>
      <c r="F258">
        <f>B250</f>
        <v>-61786875</v>
      </c>
    </row>
    <row r="259" spans="1:8" ht="18.600000000000001" thickBot="1" x14ac:dyDescent="0.4">
      <c r="A259" s="74" t="s">
        <v>343</v>
      </c>
      <c r="B259" s="78">
        <f>B151*2*B170/3</f>
        <v>26164822320000</v>
      </c>
      <c r="D259" s="108">
        <v>1</v>
      </c>
      <c r="E259" s="109">
        <f>C250</f>
        <v>15347247.126000006</v>
      </c>
      <c r="F259" s="62">
        <f>PV(0.18,D259,0,-E259)</f>
        <v>13006141.632203395</v>
      </c>
    </row>
    <row r="260" spans="1:8" ht="18.600000000000001" thickBot="1" x14ac:dyDescent="0.4">
      <c r="A260" s="74" t="s">
        <v>344</v>
      </c>
      <c r="B260" s="78">
        <f>-B151*1*B170</f>
        <v>-39247233480000</v>
      </c>
      <c r="D260" s="108">
        <v>2</v>
      </c>
      <c r="E260" s="109">
        <f>D250</f>
        <v>15586030.661999995</v>
      </c>
      <c r="F260" s="62">
        <f>PV(0.18,D260,0,-E260)</f>
        <v>11193644.5432347</v>
      </c>
    </row>
    <row r="261" spans="1:8" ht="15" thickBot="1" x14ac:dyDescent="0.35">
      <c r="D261" s="108">
        <v>3</v>
      </c>
      <c r="E261" s="109">
        <f>E250</f>
        <v>11930858.189999998</v>
      </c>
      <c r="F261" s="62">
        <f>PV(0.18,D261,0,-E261)</f>
        <v>7261488.6319925599</v>
      </c>
    </row>
    <row r="262" spans="1:8" ht="15" thickBot="1" x14ac:dyDescent="0.35">
      <c r="D262" s="108">
        <v>4</v>
      </c>
      <c r="E262" s="109">
        <f>F250</f>
        <v>13214338.686000004</v>
      </c>
      <c r="F262" s="62">
        <f>PV(0.18,D262,0,-E262)</f>
        <v>6815808.8867287226</v>
      </c>
    </row>
    <row r="263" spans="1:8" ht="16.2" thickBot="1" x14ac:dyDescent="0.35">
      <c r="D263" s="108">
        <v>5</v>
      </c>
      <c r="E263" s="110">
        <f>G250</f>
        <v>22532088.105</v>
      </c>
      <c r="F263" s="62">
        <f>PV(0.18,D263,0,-E263)</f>
        <v>9848983.3716121912</v>
      </c>
    </row>
    <row r="264" spans="1:8" x14ac:dyDescent="0.3">
      <c r="E264" t="s">
        <v>357</v>
      </c>
      <c r="F264" s="62">
        <f>NPV(0.18,F259:F263)+F258</f>
        <v>-30485453.886958241</v>
      </c>
    </row>
    <row r="316" spans="1:8" ht="18" x14ac:dyDescent="0.35">
      <c r="A316" s="98" t="s">
        <v>327</v>
      </c>
      <c r="B316" s="98"/>
      <c r="C316" s="98"/>
      <c r="D316" s="98"/>
      <c r="E316" s="98"/>
      <c r="F316" s="98"/>
      <c r="G316" s="98"/>
    </row>
    <row r="317" spans="1:8" ht="18" x14ac:dyDescent="0.35">
      <c r="A317" s="64" t="s">
        <v>328</v>
      </c>
      <c r="B317" s="76">
        <v>0</v>
      </c>
      <c r="C317" s="76">
        <v>1</v>
      </c>
      <c r="D317" s="76">
        <v>2</v>
      </c>
      <c r="E317" s="76">
        <v>3</v>
      </c>
      <c r="F317" s="76">
        <v>4</v>
      </c>
      <c r="G317" s="76">
        <v>5</v>
      </c>
      <c r="H317" s="98"/>
    </row>
    <row r="318" spans="1:8" ht="18" x14ac:dyDescent="0.35">
      <c r="A318" s="74" t="s">
        <v>329</v>
      </c>
      <c r="B318" s="69"/>
      <c r="C318" s="77">
        <v>100000</v>
      </c>
      <c r="D318" s="77">
        <v>100000</v>
      </c>
      <c r="E318" s="77">
        <v>100000</v>
      </c>
      <c r="F318" s="77">
        <v>100000</v>
      </c>
      <c r="G318" s="77">
        <v>100000</v>
      </c>
      <c r="H318" s="69"/>
    </row>
    <row r="319" spans="1:8" ht="18" x14ac:dyDescent="0.35">
      <c r="A319" s="74" t="s">
        <v>330</v>
      </c>
      <c r="B319" s="74"/>
      <c r="C319" s="74"/>
      <c r="D319" s="74"/>
      <c r="E319" s="74"/>
      <c r="F319" s="74"/>
      <c r="G319" s="74"/>
      <c r="H319" s="77"/>
    </row>
    <row r="320" spans="1:8" ht="18" x14ac:dyDescent="0.35">
      <c r="A320" s="74" t="s">
        <v>331</v>
      </c>
      <c r="B320" s="74"/>
      <c r="C320" s="77">
        <v>20000</v>
      </c>
      <c r="D320" s="77">
        <v>20000</v>
      </c>
      <c r="E320" s="77">
        <v>20000</v>
      </c>
      <c r="F320" s="77">
        <v>20000</v>
      </c>
      <c r="G320" s="77">
        <v>20000</v>
      </c>
      <c r="H320" s="74"/>
    </row>
    <row r="321" spans="1:8" ht="18" x14ac:dyDescent="0.35">
      <c r="A321" s="74" t="s">
        <v>267</v>
      </c>
      <c r="B321" s="74"/>
      <c r="C321" s="77">
        <v>12000</v>
      </c>
      <c r="D321" s="77">
        <v>12000</v>
      </c>
      <c r="E321" s="77">
        <v>12000</v>
      </c>
      <c r="F321" s="77">
        <v>12000</v>
      </c>
      <c r="G321" s="77">
        <v>12000</v>
      </c>
      <c r="H321" s="77"/>
    </row>
    <row r="322" spans="1:8" ht="18" x14ac:dyDescent="0.35">
      <c r="A322" s="74" t="s">
        <v>332</v>
      </c>
      <c r="B322" s="74"/>
      <c r="C322" s="77">
        <v>8000</v>
      </c>
      <c r="D322" s="77">
        <v>8000</v>
      </c>
      <c r="E322" s="77">
        <v>8000</v>
      </c>
      <c r="F322" s="77">
        <v>8000</v>
      </c>
      <c r="G322" s="77">
        <v>8000</v>
      </c>
      <c r="H322" s="77"/>
    </row>
    <row r="323" spans="1:8" ht="18" x14ac:dyDescent="0.35">
      <c r="A323" s="74" t="s">
        <v>268</v>
      </c>
      <c r="B323" s="74"/>
      <c r="C323" s="74">
        <f>14.29%*125000</f>
        <v>17862.5</v>
      </c>
      <c r="D323" s="74">
        <f>24.49%*125000</f>
        <v>30612.499999999996</v>
      </c>
      <c r="E323" s="74">
        <f>17.49%*125000</f>
        <v>21862.499999999996</v>
      </c>
      <c r="F323" s="74">
        <f>12.49%*125000</f>
        <v>15612.5</v>
      </c>
      <c r="G323" s="74">
        <f>4.47%*125000</f>
        <v>5587.5</v>
      </c>
      <c r="H323" s="77"/>
    </row>
    <row r="324" spans="1:8" ht="18" x14ac:dyDescent="0.35">
      <c r="A324" s="74" t="s">
        <v>333</v>
      </c>
      <c r="B324" s="74"/>
      <c r="C324" s="77">
        <f>C318-C320-C321-C322-C323</f>
        <v>42137.5</v>
      </c>
      <c r="D324" s="77">
        <f t="shared" ref="D324:F324" si="63">D318-D320-D321-D322-D323</f>
        <v>29387.500000000004</v>
      </c>
      <c r="E324" s="77">
        <f t="shared" si="63"/>
        <v>38137.5</v>
      </c>
      <c r="F324" s="77">
        <f t="shared" si="63"/>
        <v>44387.5</v>
      </c>
      <c r="G324" s="77">
        <f>G318-G320-G321-G322-G323</f>
        <v>54412.5</v>
      </c>
      <c r="H324" s="74"/>
    </row>
    <row r="325" spans="1:8" ht="18" x14ac:dyDescent="0.35">
      <c r="A325" s="74" t="s">
        <v>334</v>
      </c>
      <c r="B325" s="74"/>
      <c r="C325" s="74">
        <f>0.4*C324</f>
        <v>16855</v>
      </c>
      <c r="D325" s="74">
        <f t="shared" ref="D325:G325" si="64">0.4*D324</f>
        <v>11755.000000000002</v>
      </c>
      <c r="E325" s="74">
        <f t="shared" si="64"/>
        <v>15255</v>
      </c>
      <c r="F325" s="74">
        <f t="shared" si="64"/>
        <v>17755</v>
      </c>
      <c r="G325" s="74">
        <f t="shared" si="64"/>
        <v>21765</v>
      </c>
      <c r="H325" s="74"/>
    </row>
    <row r="326" spans="1:8" ht="18" x14ac:dyDescent="0.35">
      <c r="A326" s="74" t="s">
        <v>326</v>
      </c>
      <c r="B326" s="74"/>
      <c r="C326" s="77">
        <f>C324-C325</f>
        <v>25282.5</v>
      </c>
      <c r="D326" s="77">
        <f t="shared" ref="D326:G326" si="65">D324-D325</f>
        <v>17632.5</v>
      </c>
      <c r="E326" s="77">
        <f t="shared" si="65"/>
        <v>22882.5</v>
      </c>
      <c r="F326" s="77">
        <f t="shared" si="65"/>
        <v>26632.5</v>
      </c>
      <c r="G326" s="77">
        <f t="shared" si="65"/>
        <v>32647.5</v>
      </c>
      <c r="H326" s="74"/>
    </row>
    <row r="327" spans="1:8" ht="18" x14ac:dyDescent="0.35">
      <c r="A327" s="98" t="s">
        <v>335</v>
      </c>
      <c r="B327" s="98"/>
      <c r="C327" s="98"/>
      <c r="D327" s="98"/>
      <c r="E327" s="98"/>
      <c r="F327" s="98"/>
      <c r="G327" s="98"/>
      <c r="H327" s="74"/>
    </row>
    <row r="328" spans="1:8" ht="18" x14ac:dyDescent="0.35">
      <c r="A328" s="74" t="s">
        <v>269</v>
      </c>
      <c r="B328" s="74"/>
      <c r="C328" s="74"/>
      <c r="D328" s="74"/>
      <c r="E328" s="74"/>
      <c r="F328" s="74"/>
      <c r="G328" s="74"/>
      <c r="H328" s="98"/>
    </row>
    <row r="329" spans="1:8" ht="18" x14ac:dyDescent="0.35">
      <c r="A329" s="74" t="s">
        <v>326</v>
      </c>
      <c r="B329" s="74"/>
      <c r="C329" s="77">
        <f>C326</f>
        <v>25282.5</v>
      </c>
      <c r="D329" s="77">
        <f>D326</f>
        <v>17632.5</v>
      </c>
      <c r="E329" s="77">
        <f>E326</f>
        <v>22882.5</v>
      </c>
      <c r="F329" s="77">
        <f>F326</f>
        <v>26632.5</v>
      </c>
      <c r="G329" s="77">
        <f>G326</f>
        <v>32647.5</v>
      </c>
      <c r="H329" s="74"/>
    </row>
    <row r="330" spans="1:8" ht="18" x14ac:dyDescent="0.35">
      <c r="A330" s="74" t="s">
        <v>268</v>
      </c>
      <c r="B330" s="74"/>
      <c r="C330" s="78">
        <f>C323</f>
        <v>17862.5</v>
      </c>
      <c r="D330" s="78">
        <f t="shared" ref="D330:G330" si="66">D323</f>
        <v>30612.499999999996</v>
      </c>
      <c r="E330" s="78">
        <f t="shared" si="66"/>
        <v>21862.499999999996</v>
      </c>
      <c r="F330" s="78">
        <f t="shared" si="66"/>
        <v>15612.5</v>
      </c>
      <c r="G330" s="78">
        <f t="shared" si="66"/>
        <v>5587.5</v>
      </c>
      <c r="H330" s="74"/>
    </row>
    <row r="331" spans="1:8" ht="18" x14ac:dyDescent="0.35">
      <c r="A331" s="74" t="s">
        <v>336</v>
      </c>
      <c r="B331" s="74"/>
      <c r="C331" s="74"/>
      <c r="D331" s="74"/>
      <c r="E331" s="74"/>
      <c r="F331" s="74"/>
      <c r="G331" s="74"/>
      <c r="H331" s="78"/>
    </row>
    <row r="332" spans="1:8" ht="18" x14ac:dyDescent="0.35">
      <c r="A332" s="74" t="s">
        <v>337</v>
      </c>
      <c r="B332" s="77">
        <v>-125000</v>
      </c>
      <c r="C332" s="77"/>
      <c r="D332" s="74"/>
      <c r="E332" s="74"/>
      <c r="F332" s="74"/>
      <c r="G332" s="74"/>
      <c r="H332" s="77"/>
    </row>
    <row r="333" spans="1:8" ht="18" x14ac:dyDescent="0.35">
      <c r="A333" s="74" t="s">
        <v>338</v>
      </c>
      <c r="B333" s="74"/>
      <c r="C333" s="74"/>
      <c r="D333" s="74"/>
      <c r="E333" s="74"/>
      <c r="F333" s="74"/>
      <c r="G333" s="77">
        <v>50000</v>
      </c>
      <c r="H333" s="77"/>
    </row>
    <row r="334" spans="1:8" ht="18" x14ac:dyDescent="0.35">
      <c r="A334" s="74" t="s">
        <v>339</v>
      </c>
      <c r="B334" s="74"/>
      <c r="C334" s="74"/>
      <c r="D334" s="74"/>
      <c r="E334" s="74"/>
      <c r="F334" s="74"/>
      <c r="G334" s="74">
        <f>-0.4*(-B332-SUM(C330:G330)-G333)</f>
        <v>6615</v>
      </c>
      <c r="H334" s="74"/>
    </row>
    <row r="335" spans="1:8" ht="18" x14ac:dyDescent="0.35">
      <c r="A335" s="74" t="s">
        <v>346</v>
      </c>
      <c r="B335" s="74">
        <f>-B256</f>
        <v>-74292068121000</v>
      </c>
      <c r="C335" s="74"/>
      <c r="D335" s="74"/>
      <c r="E335" s="74"/>
      <c r="F335" s="74"/>
      <c r="G335" s="74">
        <f>B256</f>
        <v>74292068121000</v>
      </c>
      <c r="H335" s="74"/>
    </row>
    <row r="336" spans="1:8" ht="18" x14ac:dyDescent="0.35">
      <c r="A336" s="74" t="s">
        <v>340</v>
      </c>
      <c r="B336" s="74">
        <f>SUM(B329:B335)</f>
        <v>-74292068246000</v>
      </c>
      <c r="C336" s="74">
        <f t="shared" ref="C336:F336" si="67">SUM(C329:C334)</f>
        <v>43145</v>
      </c>
      <c r="D336" s="74">
        <f t="shared" si="67"/>
        <v>48245</v>
      </c>
      <c r="E336" s="74">
        <f t="shared" si="67"/>
        <v>44745</v>
      </c>
      <c r="F336" s="74">
        <f t="shared" si="67"/>
        <v>42245</v>
      </c>
      <c r="G336" s="77">
        <f>SUM(G329:G335)</f>
        <v>74292068215850</v>
      </c>
      <c r="H336" s="74"/>
    </row>
    <row r="337" spans="8:8" ht="18" x14ac:dyDescent="0.35">
      <c r="H337" s="74"/>
    </row>
  </sheetData>
  <mergeCells count="12">
    <mergeCell ref="A231:G231"/>
    <mergeCell ref="A242:H242"/>
    <mergeCell ref="A178:F178"/>
    <mergeCell ref="A185:F185"/>
    <mergeCell ref="A195:F195"/>
    <mergeCell ref="A206:F206"/>
    <mergeCell ref="A217:F217"/>
    <mergeCell ref="A172:F172"/>
    <mergeCell ref="A163:F163"/>
    <mergeCell ref="A155:F155"/>
    <mergeCell ref="A149:E149"/>
    <mergeCell ref="B138:C1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55DA-EEDD-4A56-9844-8F0A6B70C10E}">
  <dimension ref="A1:G141"/>
  <sheetViews>
    <sheetView topLeftCell="A53" zoomScale="57" workbookViewId="0">
      <selection activeCell="A81" sqref="A81:F81"/>
    </sheetView>
  </sheetViews>
  <sheetFormatPr defaultRowHeight="14.4" x14ac:dyDescent="0.3"/>
  <cols>
    <col min="1" max="1" width="52.6640625" bestFit="1" customWidth="1"/>
    <col min="2" max="2" width="12.6640625" bestFit="1" customWidth="1"/>
    <col min="3" max="3" width="12.88671875" bestFit="1" customWidth="1"/>
    <col min="4" max="4" width="12.5546875" bestFit="1" customWidth="1"/>
    <col min="5" max="5" width="12.88671875" bestFit="1" customWidth="1"/>
    <col min="6" max="6" width="12.88671875" customWidth="1"/>
    <col min="7" max="7" width="42.88671875" bestFit="1" customWidth="1"/>
  </cols>
  <sheetData>
    <row r="1" spans="1:7" ht="15.6" x14ac:dyDescent="0.3">
      <c r="A1" s="1" t="s">
        <v>206</v>
      </c>
      <c r="B1" s="1"/>
      <c r="C1" s="1">
        <v>141012</v>
      </c>
      <c r="D1" s="42"/>
      <c r="E1" s="43"/>
      <c r="F1" s="43"/>
      <c r="G1" s="26" t="s">
        <v>207</v>
      </c>
    </row>
    <row r="3" spans="1:7" ht="17.399999999999999" x14ac:dyDescent="0.3">
      <c r="A3" s="2" t="s">
        <v>0</v>
      </c>
      <c r="B3" s="3">
        <v>2021</v>
      </c>
      <c r="C3" s="3">
        <v>2020</v>
      </c>
      <c r="D3" s="3">
        <v>2019</v>
      </c>
      <c r="E3" s="3">
        <v>2018</v>
      </c>
      <c r="F3" s="3">
        <v>2017</v>
      </c>
      <c r="G3" s="27" t="s">
        <v>96</v>
      </c>
    </row>
    <row r="4" spans="1:7" ht="15.6" x14ac:dyDescent="0.3">
      <c r="A4" s="13" t="s">
        <v>196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 s="28" t="s">
        <v>197</v>
      </c>
    </row>
    <row r="5" spans="1:7" ht="15.6" x14ac:dyDescent="0.3">
      <c r="A5" s="14" t="s">
        <v>198</v>
      </c>
      <c r="B5" s="8">
        <v>1.1499999999999999</v>
      </c>
      <c r="C5" s="8">
        <v>1.1499999999999999</v>
      </c>
      <c r="D5" s="8">
        <v>1.06</v>
      </c>
      <c r="E5" s="8">
        <v>0.89</v>
      </c>
      <c r="F5" s="8">
        <v>1.87</v>
      </c>
      <c r="G5" s="29" t="s">
        <v>199</v>
      </c>
    </row>
    <row r="6" spans="1:7" ht="15.6" x14ac:dyDescent="0.3">
      <c r="A6" s="14" t="s">
        <v>1</v>
      </c>
      <c r="B6" s="8">
        <v>13743080.34</v>
      </c>
      <c r="C6" s="4">
        <v>2519679.2999999998</v>
      </c>
      <c r="D6" s="4">
        <v>6742868.6399999997</v>
      </c>
      <c r="E6" s="4">
        <v>2081931.38</v>
      </c>
      <c r="F6" s="4">
        <v>2754982.87</v>
      </c>
      <c r="G6" s="29" t="s">
        <v>97</v>
      </c>
    </row>
    <row r="7" spans="1:7" ht="15.6" x14ac:dyDescent="0.3">
      <c r="A7" s="14" t="s">
        <v>2</v>
      </c>
      <c r="B7" s="8">
        <v>10739090</v>
      </c>
      <c r="C7" s="4">
        <v>2220520</v>
      </c>
      <c r="D7" s="4">
        <v>5965515</v>
      </c>
      <c r="E7" s="4">
        <v>1594036</v>
      </c>
      <c r="F7" s="4">
        <v>1320237</v>
      </c>
      <c r="G7" s="29" t="s">
        <v>98</v>
      </c>
    </row>
    <row r="8" spans="1:7" ht="15.6" x14ac:dyDescent="0.3">
      <c r="A8" s="14" t="s">
        <v>3</v>
      </c>
      <c r="B8" s="8">
        <v>9689</v>
      </c>
      <c r="C8" s="4">
        <v>3543</v>
      </c>
      <c r="D8" s="4">
        <v>4511</v>
      </c>
      <c r="E8" s="4">
        <v>3296</v>
      </c>
      <c r="F8" s="4">
        <v>3115</v>
      </c>
      <c r="G8" s="29" t="s">
        <v>99</v>
      </c>
    </row>
    <row r="9" spans="1:7" ht="15.6" x14ac:dyDescent="0.3">
      <c r="A9" s="14" t="s">
        <v>200</v>
      </c>
      <c r="B9" s="4">
        <v>35000000</v>
      </c>
      <c r="C9" s="4">
        <v>25000000</v>
      </c>
      <c r="D9" s="4">
        <v>25000000</v>
      </c>
      <c r="E9" s="4">
        <v>25000000</v>
      </c>
      <c r="F9" s="4">
        <v>25000000</v>
      </c>
      <c r="G9" s="29" t="s">
        <v>201</v>
      </c>
    </row>
    <row r="10" spans="1:7" ht="15.6" x14ac:dyDescent="0.3">
      <c r="A10" s="14" t="s">
        <v>4</v>
      </c>
      <c r="B10" s="4">
        <v>40250000</v>
      </c>
      <c r="C10" s="4">
        <v>28750000</v>
      </c>
      <c r="D10" s="4">
        <v>26500000</v>
      </c>
      <c r="E10" s="4">
        <v>22250000</v>
      </c>
      <c r="F10" s="4">
        <v>46750000</v>
      </c>
      <c r="G10" s="29" t="s">
        <v>100</v>
      </c>
    </row>
    <row r="11" spans="1:7" ht="15.6" x14ac:dyDescent="0.3">
      <c r="A11" s="15" t="s">
        <v>202</v>
      </c>
      <c r="B11" s="44">
        <v>44561</v>
      </c>
      <c r="C11" s="44">
        <v>44196</v>
      </c>
      <c r="D11" s="44">
        <v>43830</v>
      </c>
      <c r="E11" s="44">
        <v>43465</v>
      </c>
      <c r="F11" s="44">
        <v>43100</v>
      </c>
      <c r="G11" s="30" t="s">
        <v>203</v>
      </c>
    </row>
    <row r="12" spans="1:7" ht="17.399999999999999" x14ac:dyDescent="0.3">
      <c r="A12" s="6"/>
      <c r="C12" s="2"/>
      <c r="D12" s="25"/>
      <c r="E12" s="25"/>
      <c r="F12" s="25"/>
      <c r="G12" s="31"/>
    </row>
    <row r="13" spans="1:7" ht="15.6" x14ac:dyDescent="0.3">
      <c r="C13" s="11"/>
      <c r="D13" s="24"/>
      <c r="E13" s="24"/>
      <c r="F13" s="24"/>
      <c r="G13" s="31"/>
    </row>
    <row r="14" spans="1:7" ht="17.399999999999999" x14ac:dyDescent="0.3">
      <c r="A14" s="2" t="s">
        <v>5</v>
      </c>
      <c r="C14" s="12"/>
      <c r="D14" s="23"/>
      <c r="E14" s="23"/>
      <c r="F14" s="23"/>
      <c r="G14" s="32" t="s">
        <v>101</v>
      </c>
    </row>
    <row r="15" spans="1:7" ht="15.6" x14ac:dyDescent="0.3">
      <c r="A15" s="13" t="s">
        <v>6</v>
      </c>
      <c r="B15" s="45">
        <v>11032738</v>
      </c>
      <c r="C15" s="45">
        <v>10443380</v>
      </c>
      <c r="D15" s="45">
        <v>1844388</v>
      </c>
      <c r="E15" s="45">
        <v>2907252</v>
      </c>
      <c r="F15" s="45">
        <v>3696201</v>
      </c>
      <c r="G15" s="28" t="s">
        <v>102</v>
      </c>
    </row>
    <row r="16" spans="1:7" ht="15.6" x14ac:dyDescent="0.3">
      <c r="A16" s="14" t="s">
        <v>7</v>
      </c>
      <c r="B16" s="4">
        <v>17819554</v>
      </c>
      <c r="C16" s="4">
        <v>16805899</v>
      </c>
      <c r="D16" s="4">
        <v>21373839</v>
      </c>
      <c r="E16" s="4">
        <v>27958818</v>
      </c>
      <c r="F16" s="4">
        <v>23638244</v>
      </c>
      <c r="G16" s="33" t="s">
        <v>103</v>
      </c>
    </row>
    <row r="17" spans="1:7" ht="15.6" x14ac:dyDescent="0.3">
      <c r="A17" s="14" t="s">
        <v>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33" t="s">
        <v>104</v>
      </c>
    </row>
    <row r="18" spans="1:7" ht="15.6" x14ac:dyDescent="0.3">
      <c r="A18" s="14" t="s">
        <v>9</v>
      </c>
      <c r="B18" s="4">
        <v>5972833</v>
      </c>
      <c r="C18" s="4">
        <v>7024143</v>
      </c>
      <c r="D18" s="4">
        <v>7430502</v>
      </c>
      <c r="E18" s="4">
        <v>5910795</v>
      </c>
      <c r="F18" s="4">
        <v>5481999</v>
      </c>
      <c r="G18" s="33" t="s">
        <v>105</v>
      </c>
    </row>
    <row r="19" spans="1:7" ht="15.6" x14ac:dyDescent="0.3">
      <c r="A19" s="16" t="s">
        <v>10</v>
      </c>
      <c r="B19" s="4">
        <v>0</v>
      </c>
      <c r="C19" s="4">
        <v>0</v>
      </c>
      <c r="D19" s="4">
        <v>111502</v>
      </c>
      <c r="E19" s="4">
        <v>111502</v>
      </c>
      <c r="F19" s="4">
        <v>0</v>
      </c>
      <c r="G19" s="33" t="s">
        <v>106</v>
      </c>
    </row>
    <row r="20" spans="1:7" ht="15.6" x14ac:dyDescent="0.3">
      <c r="A20" s="16" t="s">
        <v>11</v>
      </c>
      <c r="B20" s="4">
        <v>15206728</v>
      </c>
      <c r="C20" s="4">
        <v>16040191</v>
      </c>
      <c r="D20" s="4">
        <v>14772540</v>
      </c>
      <c r="E20" s="4">
        <v>15359933</v>
      </c>
      <c r="F20" s="4">
        <v>16127022</v>
      </c>
      <c r="G20" s="33" t="s">
        <v>107</v>
      </c>
    </row>
    <row r="21" spans="1:7" ht="15.6" x14ac:dyDescent="0.3">
      <c r="A21" s="16" t="s">
        <v>12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33" t="s">
        <v>108</v>
      </c>
    </row>
    <row r="22" spans="1:7" ht="15.6" x14ac:dyDescent="0.3">
      <c r="A22" s="14" t="s">
        <v>13</v>
      </c>
      <c r="B22" s="4">
        <v>56215148</v>
      </c>
      <c r="C22" s="4">
        <v>56047442</v>
      </c>
      <c r="D22" s="4">
        <v>50764763</v>
      </c>
      <c r="E22" s="4">
        <v>59355234</v>
      </c>
      <c r="F22" s="4">
        <v>56162203</v>
      </c>
      <c r="G22" s="33" t="s">
        <v>109</v>
      </c>
    </row>
    <row r="23" spans="1:7" ht="15.6" x14ac:dyDescent="0.3">
      <c r="A23" s="14" t="s">
        <v>14</v>
      </c>
      <c r="B23" s="4">
        <v>2264668</v>
      </c>
      <c r="C23" s="4">
        <v>2257903</v>
      </c>
      <c r="D23" s="4">
        <v>2247122</v>
      </c>
      <c r="E23" s="4">
        <v>2305477</v>
      </c>
      <c r="F23" s="4">
        <v>2346362</v>
      </c>
      <c r="G23" s="33" t="s">
        <v>110</v>
      </c>
    </row>
    <row r="24" spans="1:7" ht="15.6" x14ac:dyDescent="0.3">
      <c r="A24" s="14" t="s">
        <v>15</v>
      </c>
      <c r="B24" s="4">
        <v>31011513</v>
      </c>
      <c r="C24" s="4">
        <v>32840980</v>
      </c>
      <c r="D24" s="4">
        <v>36960544</v>
      </c>
      <c r="E24" s="4">
        <v>32892460</v>
      </c>
      <c r="F24" s="4">
        <v>23018610</v>
      </c>
      <c r="G24" s="33" t="s">
        <v>111</v>
      </c>
    </row>
    <row r="25" spans="1:7" ht="15.6" x14ac:dyDescent="0.3">
      <c r="A25" s="14" t="s">
        <v>16</v>
      </c>
      <c r="B25" s="4">
        <v>2276652</v>
      </c>
      <c r="C25" s="4">
        <v>2302611</v>
      </c>
      <c r="D25" s="4">
        <v>3338194</v>
      </c>
      <c r="E25" s="4">
        <v>3344028</v>
      </c>
      <c r="F25" s="4">
        <v>3364400</v>
      </c>
      <c r="G25" s="33" t="s">
        <v>112</v>
      </c>
    </row>
    <row r="26" spans="1:7" ht="15.6" x14ac:dyDescent="0.3">
      <c r="A26" s="14" t="s">
        <v>17</v>
      </c>
      <c r="B26" s="4">
        <v>833122</v>
      </c>
      <c r="C26" s="4">
        <v>1612933</v>
      </c>
      <c r="D26" s="4">
        <v>5544</v>
      </c>
      <c r="E26" s="4">
        <v>4350057</v>
      </c>
      <c r="F26" s="4">
        <v>10455510</v>
      </c>
      <c r="G26" s="33" t="s">
        <v>113</v>
      </c>
    </row>
    <row r="27" spans="1:7" ht="15.6" x14ac:dyDescent="0.3">
      <c r="A27" s="14" t="s">
        <v>18</v>
      </c>
      <c r="B27" s="4">
        <v>34121287</v>
      </c>
      <c r="C27" s="4">
        <v>36756524</v>
      </c>
      <c r="D27" s="4">
        <v>40304282</v>
      </c>
      <c r="E27" s="4">
        <v>40586545</v>
      </c>
      <c r="F27" s="4">
        <v>36838520</v>
      </c>
      <c r="G27" s="33" t="s">
        <v>114</v>
      </c>
    </row>
    <row r="28" spans="1:7" ht="15.6" x14ac:dyDescent="0.3">
      <c r="A28" s="14" t="s">
        <v>19</v>
      </c>
      <c r="B28" s="4">
        <v>6679491</v>
      </c>
      <c r="C28" s="4">
        <v>6539937</v>
      </c>
      <c r="D28" s="4">
        <v>6417935</v>
      </c>
      <c r="E28" s="4">
        <v>6157108</v>
      </c>
      <c r="F28" s="4">
        <v>5067638</v>
      </c>
      <c r="G28" s="33" t="s">
        <v>115</v>
      </c>
    </row>
    <row r="29" spans="1:7" ht="15.6" x14ac:dyDescent="0.3">
      <c r="A29" s="17" t="s">
        <v>20</v>
      </c>
      <c r="B29" s="5">
        <v>99280594</v>
      </c>
      <c r="C29" s="5">
        <v>101601806</v>
      </c>
      <c r="D29" s="5">
        <v>99734102</v>
      </c>
      <c r="E29" s="5">
        <v>108404364</v>
      </c>
      <c r="F29" s="5">
        <v>100414723</v>
      </c>
      <c r="G29" s="34" t="s">
        <v>116</v>
      </c>
    </row>
    <row r="30" spans="1:7" ht="15.6" x14ac:dyDescent="0.3">
      <c r="C30" s="46"/>
      <c r="D30" s="46"/>
      <c r="E30" s="46"/>
      <c r="F30" s="46"/>
      <c r="G30" s="43"/>
    </row>
    <row r="31" spans="1:7" ht="15.6" x14ac:dyDescent="0.3">
      <c r="C31" s="46"/>
      <c r="D31" s="46"/>
      <c r="E31" s="46"/>
      <c r="F31" s="46"/>
      <c r="G31" s="43"/>
    </row>
    <row r="32" spans="1:7" ht="17.399999999999999" x14ac:dyDescent="0.3">
      <c r="A32" s="18" t="s">
        <v>21</v>
      </c>
      <c r="B32" s="18"/>
      <c r="C32" s="47"/>
      <c r="D32" s="47"/>
      <c r="E32" s="47"/>
      <c r="F32" s="47"/>
      <c r="G32" s="35" t="s">
        <v>117</v>
      </c>
    </row>
    <row r="33" spans="1:7" ht="17.399999999999999" x14ac:dyDescent="0.3">
      <c r="A33" s="2" t="s">
        <v>22</v>
      </c>
      <c r="B33" s="2"/>
      <c r="C33" s="47"/>
      <c r="D33" s="47"/>
      <c r="E33" s="47"/>
      <c r="F33" s="47"/>
      <c r="G33" s="32" t="s">
        <v>118</v>
      </c>
    </row>
    <row r="34" spans="1:7" ht="15.6" x14ac:dyDescent="0.3">
      <c r="A34" s="13" t="s">
        <v>23</v>
      </c>
      <c r="B34" s="45">
        <v>6748430</v>
      </c>
      <c r="C34" s="45">
        <v>9026272</v>
      </c>
      <c r="D34" s="45">
        <v>9488026</v>
      </c>
      <c r="E34" s="45">
        <v>9042459</v>
      </c>
      <c r="F34" s="45">
        <v>6830212</v>
      </c>
      <c r="G34" s="36" t="s">
        <v>119</v>
      </c>
    </row>
    <row r="35" spans="1:7" ht="15.6" x14ac:dyDescent="0.3">
      <c r="A35" s="14" t="s">
        <v>24</v>
      </c>
      <c r="B35" s="4">
        <v>15786635</v>
      </c>
      <c r="C35" s="4">
        <v>20683528</v>
      </c>
      <c r="D35" s="4">
        <v>21176536</v>
      </c>
      <c r="E35" s="4">
        <v>19278649</v>
      </c>
      <c r="F35" s="4">
        <v>13508941</v>
      </c>
      <c r="G35" s="33" t="s">
        <v>120</v>
      </c>
    </row>
    <row r="36" spans="1:7" ht="15.6" x14ac:dyDescent="0.3">
      <c r="A36" s="14" t="s">
        <v>25</v>
      </c>
      <c r="B36" s="4">
        <v>15479405</v>
      </c>
      <c r="C36" s="4">
        <v>15561965</v>
      </c>
      <c r="D36" s="4">
        <v>15347569</v>
      </c>
      <c r="E36" s="4">
        <v>14306482</v>
      </c>
      <c r="F36" s="4">
        <v>12568640</v>
      </c>
      <c r="G36" s="33" t="s">
        <v>121</v>
      </c>
    </row>
    <row r="37" spans="1:7" ht="15.6" x14ac:dyDescent="0.3">
      <c r="A37" s="14" t="s">
        <v>26</v>
      </c>
      <c r="B37" s="4">
        <v>3741994</v>
      </c>
      <c r="C37" s="4">
        <v>5060673</v>
      </c>
      <c r="D37" s="4">
        <v>3816788</v>
      </c>
      <c r="E37" s="4">
        <v>3818532</v>
      </c>
      <c r="F37" s="4">
        <v>3663256</v>
      </c>
      <c r="G37" s="33" t="s">
        <v>122</v>
      </c>
    </row>
    <row r="38" spans="1:7" ht="15.6" x14ac:dyDescent="0.3">
      <c r="A38" s="14" t="s">
        <v>27</v>
      </c>
      <c r="B38" s="4">
        <v>51007133</v>
      </c>
      <c r="C38" s="4">
        <v>59131146</v>
      </c>
      <c r="D38" s="4">
        <v>63973817</v>
      </c>
      <c r="E38" s="4">
        <v>67090416</v>
      </c>
      <c r="F38" s="4">
        <v>44303485</v>
      </c>
      <c r="G38" s="33" t="s">
        <v>123</v>
      </c>
    </row>
    <row r="39" spans="1:7" ht="15.6" x14ac:dyDescent="0.3">
      <c r="A39" s="14" t="s">
        <v>28</v>
      </c>
      <c r="B39" s="4">
        <v>4361674</v>
      </c>
      <c r="C39" s="4">
        <v>8615015</v>
      </c>
      <c r="D39" s="4">
        <v>9883426</v>
      </c>
      <c r="E39" s="4">
        <v>8547662</v>
      </c>
      <c r="F39" s="4">
        <v>10299548</v>
      </c>
      <c r="G39" s="33" t="s">
        <v>124</v>
      </c>
    </row>
    <row r="40" spans="1:7" ht="15.6" x14ac:dyDescent="0.3">
      <c r="A40" s="14" t="s">
        <v>29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33" t="s">
        <v>125</v>
      </c>
    </row>
    <row r="41" spans="1:7" ht="15.6" x14ac:dyDescent="0.3">
      <c r="A41" s="14" t="s">
        <v>30</v>
      </c>
      <c r="B41" s="4">
        <v>1542457</v>
      </c>
      <c r="C41" s="4">
        <v>1946335</v>
      </c>
      <c r="D41" s="4">
        <v>1453776</v>
      </c>
      <c r="E41" s="4">
        <v>786012</v>
      </c>
      <c r="F41" s="4">
        <v>617355</v>
      </c>
      <c r="G41" s="33" t="s">
        <v>126</v>
      </c>
    </row>
    <row r="42" spans="1:7" ht="15.6" x14ac:dyDescent="0.3">
      <c r="A42" s="17" t="s">
        <v>31</v>
      </c>
      <c r="B42" s="5">
        <v>56911264</v>
      </c>
      <c r="C42" s="5">
        <v>69692496</v>
      </c>
      <c r="D42" s="5">
        <v>75311019</v>
      </c>
      <c r="E42" s="5">
        <v>76424090</v>
      </c>
      <c r="F42" s="5">
        <v>55220388</v>
      </c>
      <c r="G42" s="34" t="s">
        <v>127</v>
      </c>
    </row>
    <row r="43" spans="1:7" ht="15.6" x14ac:dyDescent="0.3">
      <c r="A43" s="6"/>
      <c r="B43" s="6"/>
      <c r="C43" s="46"/>
      <c r="D43" s="46"/>
      <c r="E43" s="46"/>
      <c r="F43" s="46"/>
      <c r="G43" s="37"/>
    </row>
    <row r="44" spans="1:7" ht="17.399999999999999" x14ac:dyDescent="0.3">
      <c r="A44" s="2" t="s">
        <v>32</v>
      </c>
      <c r="B44" s="2"/>
      <c r="C44" s="47"/>
      <c r="D44" s="47"/>
      <c r="E44" s="47"/>
      <c r="F44" s="47"/>
      <c r="G44" s="32" t="s">
        <v>128</v>
      </c>
    </row>
    <row r="45" spans="1:7" ht="15.6" x14ac:dyDescent="0.3">
      <c r="A45" s="13" t="s">
        <v>33</v>
      </c>
      <c r="B45" s="48">
        <v>35000000</v>
      </c>
      <c r="C45" s="48">
        <v>25000000</v>
      </c>
      <c r="D45" s="48">
        <v>25000000</v>
      </c>
      <c r="E45" s="48">
        <v>25000000</v>
      </c>
      <c r="F45" s="48">
        <v>25000000</v>
      </c>
      <c r="G45" s="36" t="s">
        <v>129</v>
      </c>
    </row>
    <row r="46" spans="1:7" ht="15.6" x14ac:dyDescent="0.3">
      <c r="A46" s="14" t="s">
        <v>34</v>
      </c>
      <c r="B46" s="49">
        <v>35000000</v>
      </c>
      <c r="C46" s="49">
        <v>25000000</v>
      </c>
      <c r="D46" s="49">
        <v>25000000</v>
      </c>
      <c r="E46" s="49">
        <v>25000000</v>
      </c>
      <c r="F46" s="49">
        <v>25000000</v>
      </c>
      <c r="G46" s="33" t="s">
        <v>130</v>
      </c>
    </row>
    <row r="47" spans="1:7" ht="15.6" x14ac:dyDescent="0.3">
      <c r="A47" s="14" t="s">
        <v>35</v>
      </c>
      <c r="B47" s="49">
        <v>35000000</v>
      </c>
      <c r="C47" s="49">
        <v>25000000</v>
      </c>
      <c r="D47" s="49">
        <v>25000000</v>
      </c>
      <c r="E47" s="49">
        <v>25000000</v>
      </c>
      <c r="F47" s="49">
        <v>25000000</v>
      </c>
      <c r="G47" s="33" t="s">
        <v>131</v>
      </c>
    </row>
    <row r="48" spans="1:7" ht="15.6" x14ac:dyDescent="0.3">
      <c r="A48" s="14" t="s">
        <v>36</v>
      </c>
      <c r="B48" s="49">
        <v>10000000</v>
      </c>
      <c r="C48" s="49">
        <v>9260627</v>
      </c>
      <c r="D48" s="49">
        <v>9260627</v>
      </c>
      <c r="E48" s="49">
        <v>9260627</v>
      </c>
      <c r="F48" s="49">
        <v>9260627</v>
      </c>
      <c r="G48" s="33" t="s">
        <v>132</v>
      </c>
    </row>
    <row r="49" spans="1:7" ht="15.6" x14ac:dyDescent="0.3">
      <c r="A49" s="14" t="s">
        <v>37</v>
      </c>
      <c r="B49" s="49">
        <v>1992003</v>
      </c>
      <c r="C49" s="49">
        <v>0</v>
      </c>
      <c r="D49" s="49">
        <v>9372759</v>
      </c>
      <c r="E49" s="49">
        <v>9372759</v>
      </c>
      <c r="F49" s="49">
        <v>9372759</v>
      </c>
      <c r="G49" s="33" t="s">
        <v>133</v>
      </c>
    </row>
    <row r="50" spans="1:7" ht="15.6" x14ac:dyDescent="0.3">
      <c r="A50" s="14" t="s">
        <v>38</v>
      </c>
      <c r="B50" s="49">
        <v>1511049</v>
      </c>
      <c r="C50" s="49">
        <v>0</v>
      </c>
      <c r="D50" s="49">
        <v>7250655</v>
      </c>
      <c r="E50" s="49">
        <v>7250655</v>
      </c>
      <c r="F50" s="49">
        <v>7250655</v>
      </c>
      <c r="G50" s="33" t="s">
        <v>134</v>
      </c>
    </row>
    <row r="51" spans="1:7" ht="15.6" x14ac:dyDescent="0.3">
      <c r="A51" s="14" t="s">
        <v>39</v>
      </c>
      <c r="B51" s="49">
        <v>0</v>
      </c>
      <c r="C51" s="49">
        <v>0</v>
      </c>
      <c r="D51" s="49">
        <v>0</v>
      </c>
      <c r="E51" s="49">
        <v>0</v>
      </c>
      <c r="F51" s="49">
        <v>0</v>
      </c>
      <c r="G51" s="33" t="s">
        <v>135</v>
      </c>
    </row>
    <row r="52" spans="1:7" ht="15.6" x14ac:dyDescent="0.3">
      <c r="A52" s="14" t="s">
        <v>40</v>
      </c>
      <c r="B52" s="49">
        <v>0</v>
      </c>
      <c r="C52" s="49">
        <v>0</v>
      </c>
      <c r="D52" s="49">
        <v>0</v>
      </c>
      <c r="E52" s="49">
        <v>0</v>
      </c>
      <c r="F52" s="49">
        <v>0</v>
      </c>
      <c r="G52" s="33" t="s">
        <v>136</v>
      </c>
    </row>
    <row r="53" spans="1:7" ht="15.6" x14ac:dyDescent="0.3">
      <c r="A53" s="14" t="s">
        <v>41</v>
      </c>
      <c r="B53" s="49">
        <v>0</v>
      </c>
      <c r="C53" s="49">
        <v>0</v>
      </c>
      <c r="D53" s="49">
        <v>0</v>
      </c>
      <c r="E53" s="49">
        <v>0</v>
      </c>
      <c r="F53" s="49">
        <v>0</v>
      </c>
      <c r="G53" s="33" t="s">
        <v>137</v>
      </c>
    </row>
    <row r="54" spans="1:7" ht="15.6" x14ac:dyDescent="0.3">
      <c r="A54" s="14" t="s">
        <v>42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33" t="s">
        <v>138</v>
      </c>
    </row>
    <row r="55" spans="1:7" ht="15.6" x14ac:dyDescent="0.3">
      <c r="A55" s="14" t="s">
        <v>43</v>
      </c>
      <c r="B55" s="49">
        <v>0</v>
      </c>
      <c r="C55" s="49">
        <v>0</v>
      </c>
      <c r="D55" s="49">
        <v>0</v>
      </c>
      <c r="E55" s="49">
        <v>0</v>
      </c>
      <c r="F55" s="49">
        <v>0</v>
      </c>
      <c r="G55" s="33" t="s">
        <v>139</v>
      </c>
    </row>
    <row r="56" spans="1:7" ht="15.6" x14ac:dyDescent="0.3">
      <c r="A56" s="14" t="s">
        <v>44</v>
      </c>
      <c r="B56" s="49">
        <v>-8635809</v>
      </c>
      <c r="C56" s="49">
        <v>-7960896</v>
      </c>
      <c r="D56" s="49">
        <v>-6993454</v>
      </c>
      <c r="E56" s="49">
        <v>-6943490</v>
      </c>
      <c r="F56" s="49">
        <v>-6650654</v>
      </c>
      <c r="G56" s="33" t="s">
        <v>140</v>
      </c>
    </row>
    <row r="57" spans="1:7" ht="15.6" x14ac:dyDescent="0.3">
      <c r="A57" s="14" t="s">
        <v>45</v>
      </c>
      <c r="B57" s="49">
        <v>1869639</v>
      </c>
      <c r="C57" s="49">
        <v>4817889</v>
      </c>
      <c r="D57" s="49">
        <v>-20483652</v>
      </c>
      <c r="E57" s="49">
        <v>-13139552</v>
      </c>
      <c r="F57" s="49">
        <v>-190906</v>
      </c>
      <c r="G57" s="33" t="s">
        <v>204</v>
      </c>
    </row>
    <row r="58" spans="1:7" ht="15.6" x14ac:dyDescent="0.3">
      <c r="A58" s="14" t="s">
        <v>46</v>
      </c>
      <c r="B58" s="49">
        <v>41736882</v>
      </c>
      <c r="C58" s="49">
        <v>31117620</v>
      </c>
      <c r="D58" s="49">
        <v>23406935</v>
      </c>
      <c r="E58" s="49">
        <v>30800999</v>
      </c>
      <c r="F58" s="49">
        <v>44042481</v>
      </c>
      <c r="G58" s="33" t="s">
        <v>141</v>
      </c>
    </row>
    <row r="59" spans="1:7" ht="15.6" x14ac:dyDescent="0.3">
      <c r="A59" s="19" t="s">
        <v>47</v>
      </c>
      <c r="B59" s="49">
        <v>632448</v>
      </c>
      <c r="C59" s="49">
        <v>791690</v>
      </c>
      <c r="D59" s="49">
        <v>1016148</v>
      </c>
      <c r="E59" s="49">
        <v>1179275</v>
      </c>
      <c r="F59" s="49">
        <v>1151854</v>
      </c>
      <c r="G59" s="38" t="s">
        <v>142</v>
      </c>
    </row>
    <row r="60" spans="1:7" ht="15.6" x14ac:dyDescent="0.3">
      <c r="A60" s="15" t="s">
        <v>48</v>
      </c>
      <c r="B60" s="50">
        <v>99280594</v>
      </c>
      <c r="C60" s="50">
        <v>101601806</v>
      </c>
      <c r="D60" s="50">
        <v>99734102</v>
      </c>
      <c r="E60" s="50">
        <v>108404364</v>
      </c>
      <c r="F60" s="50">
        <v>100414723</v>
      </c>
      <c r="G60" s="39" t="s">
        <v>143</v>
      </c>
    </row>
    <row r="61" spans="1:7" ht="15.6" x14ac:dyDescent="0.3">
      <c r="A61" s="6"/>
      <c r="B61" s="6"/>
      <c r="C61" s="46"/>
      <c r="D61" s="46"/>
      <c r="E61" s="46"/>
      <c r="F61" s="46"/>
      <c r="G61" s="31"/>
    </row>
    <row r="62" spans="1:7" ht="15.6" x14ac:dyDescent="0.3">
      <c r="A62" s="6"/>
      <c r="B62" s="6"/>
      <c r="C62" s="46"/>
      <c r="D62" s="46"/>
      <c r="E62" s="46"/>
      <c r="F62" s="46"/>
      <c r="G62" s="31"/>
    </row>
    <row r="63" spans="1:7" ht="17.399999999999999" x14ac:dyDescent="0.3">
      <c r="A63" s="2" t="s">
        <v>49</v>
      </c>
      <c r="B63" s="2"/>
      <c r="C63" s="47"/>
      <c r="D63" s="47"/>
      <c r="E63" s="47"/>
      <c r="F63" s="47"/>
      <c r="G63" s="32" t="s">
        <v>144</v>
      </c>
    </row>
    <row r="64" spans="1:7" ht="15.6" x14ac:dyDescent="0.3">
      <c r="A64" s="13" t="s">
        <v>50</v>
      </c>
      <c r="B64" s="48">
        <v>51769635</v>
      </c>
      <c r="C64" s="48">
        <v>53152073</v>
      </c>
      <c r="D64" s="48">
        <v>54861730</v>
      </c>
      <c r="E64" s="48">
        <v>53325832</v>
      </c>
      <c r="F64" s="48">
        <v>52319303</v>
      </c>
      <c r="G64" s="36" t="s">
        <v>145</v>
      </c>
    </row>
    <row r="65" spans="1:7" ht="15.6" x14ac:dyDescent="0.3">
      <c r="A65" s="14" t="s">
        <v>51</v>
      </c>
      <c r="B65" s="49">
        <v>30853460</v>
      </c>
      <c r="C65" s="49">
        <v>31542277</v>
      </c>
      <c r="D65" s="49">
        <v>34133308</v>
      </c>
      <c r="E65" s="49">
        <v>32839409</v>
      </c>
      <c r="F65" s="49">
        <v>29327945</v>
      </c>
      <c r="G65" s="33" t="s">
        <v>146</v>
      </c>
    </row>
    <row r="66" spans="1:7" ht="15.6" x14ac:dyDescent="0.3">
      <c r="A66" s="14" t="s">
        <v>52</v>
      </c>
      <c r="B66" s="49">
        <v>20916175</v>
      </c>
      <c r="C66" s="49">
        <v>21609796</v>
      </c>
      <c r="D66" s="49">
        <v>20728422</v>
      </c>
      <c r="E66" s="49">
        <v>20486423</v>
      </c>
      <c r="F66" s="49">
        <v>22991358</v>
      </c>
      <c r="G66" s="33" t="s">
        <v>147</v>
      </c>
    </row>
    <row r="67" spans="1:7" ht="15.6" x14ac:dyDescent="0.3">
      <c r="A67" s="14" t="s">
        <v>53</v>
      </c>
      <c r="B67" s="49">
        <v>4096597</v>
      </c>
      <c r="C67" s="49">
        <v>3946678</v>
      </c>
      <c r="D67" s="49">
        <v>4932372</v>
      </c>
      <c r="E67" s="49">
        <v>5605146</v>
      </c>
      <c r="F67" s="49">
        <v>5343718</v>
      </c>
      <c r="G67" s="33" t="s">
        <v>148</v>
      </c>
    </row>
    <row r="68" spans="1:7" ht="15.6" x14ac:dyDescent="0.3">
      <c r="A68" s="14" t="s">
        <v>54</v>
      </c>
      <c r="B68" s="49">
        <v>11593882</v>
      </c>
      <c r="C68" s="49">
        <v>11779507</v>
      </c>
      <c r="D68" s="49">
        <v>13070823</v>
      </c>
      <c r="E68" s="49">
        <v>15955128</v>
      </c>
      <c r="F68" s="49">
        <v>16356364</v>
      </c>
      <c r="G68" s="33" t="s">
        <v>149</v>
      </c>
    </row>
    <row r="69" spans="1:7" ht="15.6" x14ac:dyDescent="0.3">
      <c r="A69" s="14" t="s">
        <v>55</v>
      </c>
      <c r="B69" s="49">
        <v>3576514</v>
      </c>
      <c r="C69" s="49">
        <v>3603141</v>
      </c>
      <c r="D69" s="49">
        <v>3167175</v>
      </c>
      <c r="E69" s="49">
        <v>3167175</v>
      </c>
      <c r="F69" s="49">
        <v>2807433</v>
      </c>
      <c r="G69" s="33" t="s">
        <v>150</v>
      </c>
    </row>
    <row r="70" spans="1:7" ht="15.6" x14ac:dyDescent="0.3">
      <c r="A70" s="14" t="s">
        <v>56</v>
      </c>
      <c r="B70" s="49">
        <v>1040150</v>
      </c>
      <c r="C70" s="49">
        <v>850066</v>
      </c>
      <c r="D70" s="49">
        <v>3323499</v>
      </c>
      <c r="E70" s="49">
        <v>3155539</v>
      </c>
      <c r="F70" s="49">
        <v>9342414</v>
      </c>
      <c r="G70" s="33" t="s">
        <v>151</v>
      </c>
    </row>
    <row r="71" spans="1:7" ht="15.6" x14ac:dyDescent="0.3">
      <c r="A71" s="14" t="s">
        <v>57</v>
      </c>
      <c r="B71" s="49">
        <v>4185546</v>
      </c>
      <c r="C71" s="49">
        <v>5033545</v>
      </c>
      <c r="D71" s="49">
        <v>-598272</v>
      </c>
      <c r="E71" s="49">
        <v>-4229390</v>
      </c>
      <c r="F71" s="49">
        <v>-8051138</v>
      </c>
      <c r="G71" s="33" t="s">
        <v>152</v>
      </c>
    </row>
    <row r="72" spans="1:7" ht="15.6" x14ac:dyDescent="0.3">
      <c r="A72" s="14" t="s">
        <v>58</v>
      </c>
      <c r="B72" s="49">
        <v>486996</v>
      </c>
      <c r="C72" s="49">
        <v>8429692</v>
      </c>
      <c r="D72" s="49">
        <v>76241</v>
      </c>
      <c r="E72" s="49">
        <v>60187</v>
      </c>
      <c r="F72" s="49">
        <v>302402</v>
      </c>
      <c r="G72" s="33" t="s">
        <v>153</v>
      </c>
    </row>
    <row r="73" spans="1:7" ht="15.6" x14ac:dyDescent="0.3">
      <c r="A73" s="14" t="s">
        <v>59</v>
      </c>
      <c r="B73" s="49">
        <v>1054932</v>
      </c>
      <c r="C73" s="49">
        <v>1393931</v>
      </c>
      <c r="D73" s="49">
        <v>3048516</v>
      </c>
      <c r="E73" s="49">
        <v>0</v>
      </c>
      <c r="F73" s="49">
        <v>81100</v>
      </c>
      <c r="G73" s="33" t="s">
        <v>154</v>
      </c>
    </row>
    <row r="74" spans="1:7" ht="15.6" x14ac:dyDescent="0.3">
      <c r="A74" s="14" t="s">
        <v>60</v>
      </c>
      <c r="B74" s="49">
        <v>3617610</v>
      </c>
      <c r="C74" s="49">
        <v>12069306</v>
      </c>
      <c r="D74" s="49">
        <v>-3570547</v>
      </c>
      <c r="E74" s="49">
        <v>-4169203</v>
      </c>
      <c r="F74" s="49">
        <v>-7829836</v>
      </c>
      <c r="G74" s="33" t="s">
        <v>155</v>
      </c>
    </row>
    <row r="75" spans="1:7" ht="15.6" x14ac:dyDescent="0.3">
      <c r="A75" s="14" t="s">
        <v>61</v>
      </c>
      <c r="B75" s="49">
        <v>2711847</v>
      </c>
      <c r="C75" s="49">
        <v>3110322</v>
      </c>
      <c r="D75" s="49">
        <v>3410156</v>
      </c>
      <c r="E75" s="49">
        <v>2965065</v>
      </c>
      <c r="F75" s="49">
        <v>1826704</v>
      </c>
      <c r="G75" s="33" t="s">
        <v>156</v>
      </c>
    </row>
    <row r="76" spans="1:7" ht="15.6" x14ac:dyDescent="0.3">
      <c r="A76" s="14" t="s">
        <v>62</v>
      </c>
      <c r="B76" s="49">
        <v>905763</v>
      </c>
      <c r="C76" s="49">
        <v>8958984</v>
      </c>
      <c r="D76" s="49">
        <v>-6980703</v>
      </c>
      <c r="E76" s="49">
        <v>-7134268</v>
      </c>
      <c r="F76" s="49">
        <v>-9656540</v>
      </c>
      <c r="G76" s="33" t="s">
        <v>157</v>
      </c>
    </row>
    <row r="77" spans="1:7" ht="15.6" x14ac:dyDescent="0.3">
      <c r="A77" s="14" t="s">
        <v>63</v>
      </c>
      <c r="B77" s="49">
        <v>-7561</v>
      </c>
      <c r="C77" s="49">
        <v>424269</v>
      </c>
      <c r="D77" s="49">
        <v>519667</v>
      </c>
      <c r="E77" s="49">
        <v>-1091017</v>
      </c>
      <c r="F77" s="49">
        <v>5723</v>
      </c>
      <c r="G77" s="33" t="s">
        <v>158</v>
      </c>
    </row>
    <row r="78" spans="1:7" ht="15.6" x14ac:dyDescent="0.3">
      <c r="A78" s="14" t="s">
        <v>205</v>
      </c>
      <c r="B78" s="49">
        <v>0</v>
      </c>
      <c r="C78" s="49">
        <v>0</v>
      </c>
      <c r="D78" s="49">
        <v>0</v>
      </c>
      <c r="E78" s="49">
        <v>0</v>
      </c>
      <c r="F78" s="49">
        <v>0</v>
      </c>
      <c r="G78" s="33" t="s">
        <v>159</v>
      </c>
    </row>
    <row r="79" spans="1:7" ht="15.6" x14ac:dyDescent="0.3">
      <c r="A79" s="14" t="s">
        <v>64</v>
      </c>
      <c r="B79" s="49">
        <v>0</v>
      </c>
      <c r="C79" s="49">
        <v>0</v>
      </c>
      <c r="D79" s="49">
        <v>0</v>
      </c>
      <c r="E79" s="49">
        <v>0</v>
      </c>
      <c r="F79" s="49">
        <v>0</v>
      </c>
      <c r="G79" s="33" t="s">
        <v>160</v>
      </c>
    </row>
    <row r="80" spans="1:7" ht="15.6" x14ac:dyDescent="0.3">
      <c r="A80" s="14" t="s">
        <v>65</v>
      </c>
      <c r="B80" s="49">
        <v>0</v>
      </c>
      <c r="C80" s="49">
        <v>0</v>
      </c>
      <c r="D80" s="49">
        <v>0</v>
      </c>
      <c r="E80" s="49">
        <v>0</v>
      </c>
      <c r="F80" s="49">
        <v>1500</v>
      </c>
      <c r="G80" s="33" t="s">
        <v>161</v>
      </c>
    </row>
    <row r="81" spans="1:7" ht="15.6" x14ac:dyDescent="0.3">
      <c r="A81" s="14" t="s">
        <v>66</v>
      </c>
      <c r="B81" s="49">
        <v>913324</v>
      </c>
      <c r="C81" s="49">
        <v>8534715</v>
      </c>
      <c r="D81" s="49">
        <v>-7500370</v>
      </c>
      <c r="E81" s="49">
        <v>-6043251</v>
      </c>
      <c r="F81" s="49">
        <v>-9663763</v>
      </c>
      <c r="G81" s="33" t="s">
        <v>162</v>
      </c>
    </row>
    <row r="82" spans="1:7" ht="15.6" x14ac:dyDescent="0.3">
      <c r="A82" s="14" t="s">
        <v>47</v>
      </c>
      <c r="B82" s="49">
        <v>-138426</v>
      </c>
      <c r="C82" s="49">
        <v>-143412</v>
      </c>
      <c r="D82" s="49">
        <v>-156270</v>
      </c>
      <c r="E82" s="49">
        <v>-58039</v>
      </c>
      <c r="F82" s="49">
        <v>27876</v>
      </c>
      <c r="G82" s="33" t="s">
        <v>142</v>
      </c>
    </row>
    <row r="83" spans="1:7" ht="15.6" x14ac:dyDescent="0.3">
      <c r="A83" s="15" t="s">
        <v>67</v>
      </c>
      <c r="B83" s="50">
        <v>1051750</v>
      </c>
      <c r="C83" s="50">
        <v>8678127</v>
      </c>
      <c r="D83" s="50">
        <v>-7344100</v>
      </c>
      <c r="E83" s="50">
        <v>-5985212</v>
      </c>
      <c r="F83" s="50">
        <v>-9691639</v>
      </c>
      <c r="G83" s="39" t="s">
        <v>163</v>
      </c>
    </row>
    <row r="84" spans="1:7" ht="15.6" x14ac:dyDescent="0.3">
      <c r="A84" s="6"/>
      <c r="B84" s="6"/>
      <c r="C84" s="46"/>
      <c r="D84" s="46"/>
      <c r="E84" s="46"/>
      <c r="F84" s="46"/>
      <c r="G84" s="31"/>
    </row>
    <row r="85" spans="1:7" ht="15.6" x14ac:dyDescent="0.3">
      <c r="A85" s="6"/>
      <c r="B85" s="6"/>
      <c r="C85" s="46"/>
      <c r="D85" s="46"/>
      <c r="E85" s="46"/>
      <c r="F85" s="46"/>
      <c r="G85" s="31"/>
    </row>
    <row r="86" spans="1:7" ht="17.399999999999999" x14ac:dyDescent="0.3">
      <c r="A86" s="2" t="s">
        <v>68</v>
      </c>
      <c r="B86" s="2"/>
      <c r="C86" s="47"/>
      <c r="D86" s="47"/>
      <c r="E86" s="47"/>
      <c r="F86" s="47"/>
      <c r="G86" s="32" t="s">
        <v>164</v>
      </c>
    </row>
    <row r="87" spans="1:7" ht="15.6" x14ac:dyDescent="0.3">
      <c r="A87" s="13" t="s">
        <v>69</v>
      </c>
      <c r="B87" s="48">
        <v>-10123319</v>
      </c>
      <c r="C87" s="48">
        <v>-19215319</v>
      </c>
      <c r="D87" s="48">
        <v>-12656662</v>
      </c>
      <c r="E87" s="48">
        <v>-9695911</v>
      </c>
      <c r="F87" s="48">
        <v>-7657071</v>
      </c>
      <c r="G87" s="36" t="s">
        <v>165</v>
      </c>
    </row>
    <row r="88" spans="1:7" ht="15.6" x14ac:dyDescent="0.3">
      <c r="A88" s="14" t="s">
        <v>70</v>
      </c>
      <c r="B88" s="49">
        <v>4799991</v>
      </c>
      <c r="C88" s="49">
        <v>5038841</v>
      </c>
      <c r="D88" s="49">
        <v>3880647</v>
      </c>
      <c r="E88" s="49">
        <v>3880647</v>
      </c>
      <c r="F88" s="49">
        <v>1677876</v>
      </c>
      <c r="G88" s="33" t="s">
        <v>166</v>
      </c>
    </row>
    <row r="89" spans="1:7" ht="15.6" x14ac:dyDescent="0.3">
      <c r="A89" s="14" t="s">
        <v>71</v>
      </c>
      <c r="B89" s="49">
        <v>-1250822</v>
      </c>
      <c r="C89" s="49">
        <v>7091315</v>
      </c>
      <c r="D89" s="49">
        <v>-7721821</v>
      </c>
      <c r="E89" s="49">
        <v>-7721821</v>
      </c>
      <c r="F89" s="49">
        <v>-8475173</v>
      </c>
      <c r="G89" s="33" t="s">
        <v>167</v>
      </c>
    </row>
    <row r="90" spans="1:7" ht="15.6" x14ac:dyDescent="0.3">
      <c r="A90" s="14" t="s">
        <v>72</v>
      </c>
      <c r="B90" s="49">
        <v>1937082</v>
      </c>
      <c r="C90" s="49">
        <v>-3038156</v>
      </c>
      <c r="D90" s="49">
        <v>-2717483</v>
      </c>
      <c r="E90" s="49">
        <v>-2717483</v>
      </c>
      <c r="F90" s="49">
        <v>4758457</v>
      </c>
      <c r="G90" s="33" t="s">
        <v>168</v>
      </c>
    </row>
    <row r="91" spans="1:7" ht="15.6" x14ac:dyDescent="0.3">
      <c r="A91" s="17" t="s">
        <v>73</v>
      </c>
      <c r="B91" s="50">
        <v>-4637068</v>
      </c>
      <c r="C91" s="50">
        <v>-10123319</v>
      </c>
      <c r="D91" s="50">
        <v>-19215319</v>
      </c>
      <c r="E91" s="50">
        <v>-16254568</v>
      </c>
      <c r="F91" s="50">
        <v>-9695911</v>
      </c>
      <c r="G91" s="34" t="s">
        <v>169</v>
      </c>
    </row>
    <row r="92" spans="1:7" ht="15.6" x14ac:dyDescent="0.3">
      <c r="A92" s="6"/>
      <c r="B92" s="6"/>
      <c r="C92" s="23"/>
      <c r="D92" s="23"/>
      <c r="E92" s="23"/>
      <c r="F92" s="23"/>
      <c r="G92" s="31"/>
    </row>
    <row r="93" spans="1:7" ht="15.6" x14ac:dyDescent="0.3">
      <c r="A93" s="6"/>
      <c r="B93" s="6"/>
      <c r="D93" s="43"/>
      <c r="E93" s="43"/>
      <c r="F93" s="43"/>
      <c r="G93" s="31"/>
    </row>
    <row r="94" spans="1:7" ht="17.399999999999999" x14ac:dyDescent="0.3">
      <c r="A94" s="2" t="s">
        <v>74</v>
      </c>
      <c r="B94" s="2"/>
      <c r="C94" s="25"/>
      <c r="D94" s="25"/>
      <c r="E94" s="25"/>
      <c r="F94" s="25"/>
      <c r="G94" s="27" t="s">
        <v>170</v>
      </c>
    </row>
    <row r="95" spans="1:7" ht="15.6" x14ac:dyDescent="0.3">
      <c r="A95" s="13" t="s">
        <v>75</v>
      </c>
      <c r="B95" s="7">
        <v>30.683114285714286</v>
      </c>
      <c r="C95" s="7">
        <v>8.8820800000000002</v>
      </c>
      <c r="D95" s="7">
        <v>23.86206</v>
      </c>
      <c r="E95" s="7">
        <v>6.376144</v>
      </c>
      <c r="F95" s="7">
        <v>5.2809480000000004</v>
      </c>
      <c r="G95" s="28" t="s">
        <v>171</v>
      </c>
    </row>
    <row r="96" spans="1:7" ht="15.6" x14ac:dyDescent="0.3">
      <c r="A96" s="14" t="s">
        <v>76</v>
      </c>
      <c r="B96" s="8">
        <v>3.005E-2</v>
      </c>
      <c r="C96" s="8">
        <v>0.34712507999999997</v>
      </c>
      <c r="D96" s="8">
        <v>-0.29376400000000003</v>
      </c>
      <c r="E96" s="8">
        <v>-0.23940848000000001</v>
      </c>
      <c r="F96" s="8">
        <v>-0.38766556000000002</v>
      </c>
      <c r="G96" s="29" t="s">
        <v>172</v>
      </c>
    </row>
    <row r="97" spans="1:7" ht="15.6" x14ac:dyDescent="0.3">
      <c r="A97" s="14" t="s">
        <v>77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29" t="s">
        <v>173</v>
      </c>
    </row>
    <row r="98" spans="1:7" ht="15.6" x14ac:dyDescent="0.3">
      <c r="A98" s="14" t="s">
        <v>78</v>
      </c>
      <c r="B98" s="8">
        <v>1.1924823428571429</v>
      </c>
      <c r="C98" s="8">
        <v>1.2447048000000001</v>
      </c>
      <c r="D98" s="8">
        <v>0.93627740000000004</v>
      </c>
      <c r="E98" s="8">
        <v>1.23203996</v>
      </c>
      <c r="F98" s="8">
        <v>1.76169924</v>
      </c>
      <c r="G98" s="29" t="s">
        <v>174</v>
      </c>
    </row>
    <row r="99" spans="1:7" ht="15.6" x14ac:dyDescent="0.3">
      <c r="A99" s="14" t="s">
        <v>79</v>
      </c>
      <c r="B99" s="8">
        <v>38.269550748752081</v>
      </c>
      <c r="C99" s="8">
        <v>3.3129268562213943</v>
      </c>
      <c r="D99" s="8">
        <v>-3.6083386664124943</v>
      </c>
      <c r="E99" s="8">
        <v>-3.7174957211206552</v>
      </c>
      <c r="F99" s="8">
        <v>-4.823745498568405</v>
      </c>
      <c r="G99" s="29" t="s">
        <v>175</v>
      </c>
    </row>
    <row r="100" spans="1:7" ht="15.6" x14ac:dyDescent="0.3">
      <c r="A100" s="14" t="s">
        <v>80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29" t="s">
        <v>176</v>
      </c>
    </row>
    <row r="101" spans="1:7" ht="15.6" x14ac:dyDescent="0.3">
      <c r="A101" s="14" t="s">
        <v>81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29" t="s">
        <v>177</v>
      </c>
    </row>
    <row r="102" spans="1:7" ht="15.6" x14ac:dyDescent="0.3">
      <c r="A102" s="15" t="s">
        <v>82</v>
      </c>
      <c r="B102" s="9">
        <v>0.9643748663352476</v>
      </c>
      <c r="C102" s="9">
        <v>0.92391384688160594</v>
      </c>
      <c r="D102" s="9">
        <v>1.1321431020336494</v>
      </c>
      <c r="E102" s="9">
        <v>0.72237916698740845</v>
      </c>
      <c r="F102" s="9">
        <v>1.0614751698479474</v>
      </c>
      <c r="G102" s="39" t="s">
        <v>178</v>
      </c>
    </row>
    <row r="103" spans="1:7" ht="15.6" x14ac:dyDescent="0.3">
      <c r="A103" s="20"/>
      <c r="B103" s="10"/>
      <c r="C103" s="10"/>
      <c r="D103" s="10"/>
      <c r="E103" s="10"/>
      <c r="F103" s="10"/>
      <c r="G103" s="40"/>
    </row>
    <row r="104" spans="1:7" ht="15.6" x14ac:dyDescent="0.3">
      <c r="A104" s="21" t="s">
        <v>83</v>
      </c>
      <c r="B104" s="7">
        <v>40.402399978288429</v>
      </c>
      <c r="C104" s="7">
        <v>40.65654410129968</v>
      </c>
      <c r="D104" s="7">
        <v>37.783026528693135</v>
      </c>
      <c r="E104" s="7">
        <v>38.417446538855692</v>
      </c>
      <c r="F104" s="7">
        <v>43.944312484438107</v>
      </c>
      <c r="G104" s="28" t="s">
        <v>179</v>
      </c>
    </row>
    <row r="105" spans="1:7" ht="15.6" x14ac:dyDescent="0.3">
      <c r="A105" s="14" t="s">
        <v>84</v>
      </c>
      <c r="B105" s="8">
        <v>6.9878993738317838</v>
      </c>
      <c r="C105" s="8">
        <v>22.707121884032631</v>
      </c>
      <c r="D105" s="8">
        <v>-6.5082654156185011</v>
      </c>
      <c r="E105" s="8">
        <v>-7.8183552766696636</v>
      </c>
      <c r="F105" s="8">
        <v>-14.965482242758471</v>
      </c>
      <c r="G105" s="29" t="s">
        <v>180</v>
      </c>
    </row>
    <row r="106" spans="1:7" ht="15.6" x14ac:dyDescent="0.3">
      <c r="A106" s="14" t="s">
        <v>85</v>
      </c>
      <c r="B106" s="8">
        <v>1.764207918406224</v>
      </c>
      <c r="C106" s="8">
        <v>16.05716300096141</v>
      </c>
      <c r="D106" s="8">
        <v>-13.671406279021825</v>
      </c>
      <c r="E106" s="8">
        <v>-11.332689567787709</v>
      </c>
      <c r="F106" s="8">
        <v>-18.470741095308551</v>
      </c>
      <c r="G106" s="29" t="s">
        <v>181</v>
      </c>
    </row>
    <row r="107" spans="1:7" ht="15.6" x14ac:dyDescent="0.3">
      <c r="A107" s="14" t="s">
        <v>86</v>
      </c>
      <c r="B107" s="8">
        <v>0.91994211879916832</v>
      </c>
      <c r="C107" s="8">
        <v>8.4001607215525276</v>
      </c>
      <c r="D107" s="8">
        <v>-7.5203665041271437</v>
      </c>
      <c r="E107" s="8">
        <v>-5.5747303678660023</v>
      </c>
      <c r="F107" s="8">
        <v>-9.6238506777536994</v>
      </c>
      <c r="G107" s="29" t="s">
        <v>182</v>
      </c>
    </row>
    <row r="108" spans="1:7" ht="15.6" x14ac:dyDescent="0.3">
      <c r="A108" s="15" t="s">
        <v>87</v>
      </c>
      <c r="B108" s="9">
        <v>2.5199534550760165</v>
      </c>
      <c r="C108" s="9">
        <v>27.888145044511759</v>
      </c>
      <c r="D108" s="9">
        <v>-31.375743983567265</v>
      </c>
      <c r="E108" s="9">
        <v>-19.431876219339507</v>
      </c>
      <c r="F108" s="9">
        <v>-22.005206745732604</v>
      </c>
      <c r="G108" s="30" t="s">
        <v>183</v>
      </c>
    </row>
    <row r="109" spans="1:7" ht="15.6" x14ac:dyDescent="0.3">
      <c r="A109" s="20"/>
      <c r="B109" s="10"/>
      <c r="C109" s="10"/>
      <c r="D109" s="10"/>
      <c r="E109" s="10"/>
      <c r="F109" s="10"/>
      <c r="G109" s="41"/>
    </row>
    <row r="110" spans="1:7" ht="15.6" x14ac:dyDescent="0.3">
      <c r="A110" s="13" t="s">
        <v>88</v>
      </c>
      <c r="B110" s="7">
        <v>57.32365380489162</v>
      </c>
      <c r="C110" s="7">
        <v>68.59375708341247</v>
      </c>
      <c r="D110" s="7">
        <v>75.511803374937898</v>
      </c>
      <c r="E110" s="7">
        <v>70.499089870588605</v>
      </c>
      <c r="F110" s="7">
        <v>54.992322191637179</v>
      </c>
      <c r="G110" s="28" t="s">
        <v>184</v>
      </c>
    </row>
    <row r="111" spans="1:7" ht="15.6" x14ac:dyDescent="0.3">
      <c r="A111" s="14" t="s">
        <v>89</v>
      </c>
      <c r="B111" s="8">
        <v>42.67634619510838</v>
      </c>
      <c r="C111" s="8">
        <v>31.406242916587527</v>
      </c>
      <c r="D111" s="8">
        <v>24.488196625062109</v>
      </c>
      <c r="E111" s="8">
        <v>29.500910129411395</v>
      </c>
      <c r="F111" s="8">
        <v>45.007677808362821</v>
      </c>
      <c r="G111" s="29" t="s">
        <v>185</v>
      </c>
    </row>
    <row r="112" spans="1:7" ht="15.6" x14ac:dyDescent="0.3">
      <c r="A112" s="15" t="s">
        <v>90</v>
      </c>
      <c r="B112" s="9">
        <v>1.3340022501269431</v>
      </c>
      <c r="C112" s="9">
        <v>3.8804040224774154</v>
      </c>
      <c r="D112" s="9">
        <v>-1.0470333321994654</v>
      </c>
      <c r="E112" s="9">
        <v>-1.4061084664248507</v>
      </c>
      <c r="F112" s="9">
        <v>-4.2863189657437655</v>
      </c>
      <c r="G112" s="30" t="s">
        <v>186</v>
      </c>
    </row>
    <row r="113" spans="1:7" ht="15.6" x14ac:dyDescent="0.3">
      <c r="A113" s="22"/>
      <c r="B113" s="10"/>
      <c r="C113" s="10"/>
      <c r="D113" s="10"/>
      <c r="E113" s="10"/>
      <c r="F113" s="10"/>
      <c r="G113" s="41"/>
    </row>
    <row r="114" spans="1:7" ht="15.6" x14ac:dyDescent="0.3">
      <c r="A114" s="13" t="s">
        <v>91</v>
      </c>
      <c r="B114" s="7">
        <v>0.5214476758670481</v>
      </c>
      <c r="C114" s="7">
        <v>0.52314102566247689</v>
      </c>
      <c r="D114" s="7">
        <v>0.55007995158967793</v>
      </c>
      <c r="E114" s="7">
        <v>0.49191591585740957</v>
      </c>
      <c r="F114" s="7">
        <v>0.52103218967202647</v>
      </c>
      <c r="G114" s="36" t="s">
        <v>187</v>
      </c>
    </row>
    <row r="115" spans="1:7" ht="15.6" x14ac:dyDescent="0.3">
      <c r="A115" s="14" t="s">
        <v>92</v>
      </c>
      <c r="B115" s="8">
        <v>1.5172239839605113</v>
      </c>
      <c r="C115" s="8">
        <v>1.4460582018038486</v>
      </c>
      <c r="D115" s="8">
        <v>1.3611886201074119</v>
      </c>
      <c r="E115" s="8">
        <v>1.3138795627959956</v>
      </c>
      <c r="F115" s="8">
        <v>1.4202335761588685</v>
      </c>
      <c r="G115" s="33" t="s">
        <v>188</v>
      </c>
    </row>
    <row r="116" spans="1:7" ht="15.6" x14ac:dyDescent="0.3">
      <c r="A116" s="15" t="s">
        <v>93</v>
      </c>
      <c r="B116" s="9">
        <v>9.9403774758713261</v>
      </c>
      <c r="C116" s="9">
        <v>-17.236438062797209</v>
      </c>
      <c r="D116" s="9">
        <v>-4.153342851047471</v>
      </c>
      <c r="E116" s="9">
        <v>-6.8939337173966946</v>
      </c>
      <c r="F116" s="9">
        <v>4.411885247629634</v>
      </c>
      <c r="G116" s="39" t="s">
        <v>189</v>
      </c>
    </row>
    <row r="117" spans="1:7" ht="15.6" x14ac:dyDescent="0.3">
      <c r="A117" s="20"/>
      <c r="B117" s="10"/>
      <c r="C117" s="10"/>
      <c r="D117" s="10"/>
      <c r="E117" s="10"/>
      <c r="F117" s="10"/>
      <c r="G117" s="40"/>
    </row>
    <row r="118" spans="1:7" ht="15.6" x14ac:dyDescent="0.3">
      <c r="A118" s="13" t="s">
        <v>94</v>
      </c>
      <c r="B118" s="7">
        <v>1.1021036606782035</v>
      </c>
      <c r="C118" s="7">
        <v>0.94784975078954159</v>
      </c>
      <c r="D118" s="7">
        <v>0.79352406000723708</v>
      </c>
      <c r="E118" s="7">
        <v>0.88470511197903434</v>
      </c>
      <c r="F118" s="7">
        <v>1.2676700941246495</v>
      </c>
      <c r="G118" s="36" t="s">
        <v>190</v>
      </c>
    </row>
    <row r="119" spans="1:7" ht="15.6" x14ac:dyDescent="0.3">
      <c r="A119" s="15" t="s">
        <v>95</v>
      </c>
      <c r="B119" s="5">
        <v>5208015</v>
      </c>
      <c r="C119" s="5">
        <v>-3083704</v>
      </c>
      <c r="D119" s="5">
        <v>-13209054</v>
      </c>
      <c r="E119" s="5">
        <v>-7735182</v>
      </c>
      <c r="F119" s="5">
        <v>11858718</v>
      </c>
      <c r="G119" s="39" t="s">
        <v>191</v>
      </c>
    </row>
    <row r="121" spans="1:7" ht="17.399999999999999" x14ac:dyDescent="0.3">
      <c r="A121" s="111" t="s">
        <v>208</v>
      </c>
      <c r="B121" s="3">
        <v>2021</v>
      </c>
      <c r="C121" s="3">
        <v>2020</v>
      </c>
      <c r="D121" s="3">
        <v>2019</v>
      </c>
      <c r="E121" s="3">
        <v>2018</v>
      </c>
      <c r="F121" s="3">
        <v>2017</v>
      </c>
    </row>
    <row r="122" spans="1:7" x14ac:dyDescent="0.3">
      <c r="A122" t="s">
        <v>88</v>
      </c>
      <c r="B122" s="112">
        <v>0.57323653804891617</v>
      </c>
      <c r="C122" s="112">
        <v>0.68593757083412477</v>
      </c>
      <c r="D122" s="112">
        <v>0.75511803374937891</v>
      </c>
      <c r="E122" s="112">
        <v>0.70499089870588605</v>
      </c>
      <c r="F122" s="112">
        <v>0.54992322191637177</v>
      </c>
    </row>
    <row r="123" spans="1:7" x14ac:dyDescent="0.3">
      <c r="A123" t="s">
        <v>211</v>
      </c>
      <c r="B123">
        <v>1.3340022501269431</v>
      </c>
      <c r="C123">
        <v>3.8804040224774154</v>
      </c>
      <c r="D123">
        <v>-1.0470333321994654</v>
      </c>
      <c r="E123">
        <v>-1.4061084664248507</v>
      </c>
      <c r="F123">
        <v>-4.2863189657437655</v>
      </c>
    </row>
    <row r="124" spans="1:7" x14ac:dyDescent="0.3">
      <c r="A124" t="s">
        <v>212</v>
      </c>
      <c r="B124" s="112">
        <v>1.1021036606782035</v>
      </c>
      <c r="C124" s="112">
        <v>0.94784975078954159</v>
      </c>
      <c r="D124" s="112">
        <v>0.79352406000723708</v>
      </c>
      <c r="E124" s="112">
        <v>0.88470511197903434</v>
      </c>
      <c r="F124" s="112">
        <v>1.2676700941246495</v>
      </c>
    </row>
    <row r="125" spans="1:7" x14ac:dyDescent="0.3">
      <c r="A125" t="s">
        <v>209</v>
      </c>
      <c r="B125" s="112">
        <v>0.80397422062518198</v>
      </c>
      <c r="C125" s="112">
        <v>0.67658507751566321</v>
      </c>
      <c r="D125" s="112">
        <v>0.56260865284933681</v>
      </c>
      <c r="E125" s="112">
        <v>0.65576133854945839</v>
      </c>
      <c r="F125" s="112">
        <v>0.90365760165368481</v>
      </c>
    </row>
    <row r="126" spans="1:7" x14ac:dyDescent="0.3">
      <c r="A126" t="s">
        <v>213</v>
      </c>
      <c r="B126" s="112">
        <v>0.2162979440542169</v>
      </c>
      <c r="C126" s="112">
        <v>0.17661386099298668</v>
      </c>
      <c r="D126" s="112">
        <v>2.8830357269443527E-2</v>
      </c>
      <c r="E126" s="112">
        <v>4.3333342872698834E-2</v>
      </c>
      <c r="F126" s="112">
        <v>8.342912527084495E-2</v>
      </c>
    </row>
    <row r="127" spans="1:7" x14ac:dyDescent="0.3">
      <c r="A127" t="s">
        <v>210</v>
      </c>
      <c r="B127" s="112">
        <v>3.3711165504315552</v>
      </c>
      <c r="C127" s="112">
        <v>3.972688311963446</v>
      </c>
      <c r="D127" s="112">
        <v>3.5440919121867771</v>
      </c>
      <c r="E127" s="112">
        <v>3.4439742625687724</v>
      </c>
      <c r="F127" s="112">
        <v>3.3946677625931705</v>
      </c>
    </row>
    <row r="128" spans="1:7" x14ac:dyDescent="0.3">
      <c r="A128" t="s">
        <v>348</v>
      </c>
      <c r="B128" s="112">
        <v>118.34995953240976</v>
      </c>
      <c r="C128" s="112">
        <v>111.61769068719485</v>
      </c>
      <c r="D128" s="112">
        <v>141.95602093645226</v>
      </c>
      <c r="E128" s="112">
        <v>185.69067322751229</v>
      </c>
      <c r="F128" s="112">
        <v>156.99524358562667</v>
      </c>
    </row>
    <row r="129" spans="1:6" x14ac:dyDescent="0.3">
      <c r="A129" t="s">
        <v>214</v>
      </c>
      <c r="B129" s="112">
        <v>183.38196824602494</v>
      </c>
      <c r="C129" s="112">
        <v>179.37729169013386</v>
      </c>
      <c r="D129" s="112">
        <v>165.76091077958222</v>
      </c>
      <c r="E129" s="112">
        <v>172.29202334305103</v>
      </c>
      <c r="F129" s="112">
        <v>192.92071851607741</v>
      </c>
    </row>
    <row r="130" spans="1:6" x14ac:dyDescent="0.3">
      <c r="A130" t="s">
        <v>215</v>
      </c>
      <c r="B130" s="112">
        <v>0.52635292452017357</v>
      </c>
      <c r="C130" s="112">
        <v>0.60610896030726069</v>
      </c>
      <c r="D130" s="112">
        <v>0.55084439422736264</v>
      </c>
      <c r="E130" s="112">
        <v>0.49247112413297311</v>
      </c>
      <c r="F130" s="112">
        <v>0.52404372016243073</v>
      </c>
    </row>
    <row r="131" spans="1:6" x14ac:dyDescent="0.3">
      <c r="A131" t="s">
        <v>216</v>
      </c>
      <c r="B131">
        <v>40.025877290099316</v>
      </c>
      <c r="C131">
        <v>35.091225462602445</v>
      </c>
      <c r="D131">
        <v>37.730592562291754</v>
      </c>
      <c r="E131">
        <v>38.374134995905948</v>
      </c>
      <c r="F131">
        <v>43.691776995823304</v>
      </c>
    </row>
    <row r="132" spans="1:6" x14ac:dyDescent="0.3">
      <c r="A132" t="s">
        <v>217</v>
      </c>
      <c r="B132">
        <v>1.7477667092622178</v>
      </c>
      <c r="C132">
        <v>13.859159444358244</v>
      </c>
      <c r="D132">
        <v>-13.652433578225887</v>
      </c>
      <c r="E132">
        <v>-11.319913178017638</v>
      </c>
      <c r="F132">
        <v>-18.36459498984307</v>
      </c>
    </row>
    <row r="133" spans="1:6" x14ac:dyDescent="0.3">
      <c r="A133" t="s">
        <v>219</v>
      </c>
      <c r="B133">
        <v>-1.3254209497012882E-2</v>
      </c>
      <c r="C133">
        <v>0.22688214404461063</v>
      </c>
      <c r="D133">
        <v>-0.31975087838209687</v>
      </c>
      <c r="E133">
        <v>0.37640603521697974</v>
      </c>
      <c r="F133">
        <v>-9.7316641386125544E-2</v>
      </c>
    </row>
    <row r="134" spans="1:6" x14ac:dyDescent="0.3">
      <c r="A134" t="s">
        <v>360</v>
      </c>
      <c r="B134">
        <v>2.1882899637783195</v>
      </c>
      <c r="C134">
        <v>27.427274322393551</v>
      </c>
      <c r="D134">
        <v>-32.043366634717444</v>
      </c>
      <c r="E134">
        <v>-19.620308419217181</v>
      </c>
      <c r="F134">
        <v>-21.941913308653071</v>
      </c>
    </row>
    <row r="135" spans="1:6" x14ac:dyDescent="0.3">
      <c r="A135" t="s">
        <v>220</v>
      </c>
      <c r="B135">
        <v>2.609497142857143E-2</v>
      </c>
      <c r="C135">
        <v>0.34138859999999999</v>
      </c>
      <c r="D135">
        <v>-0.30001480000000003</v>
      </c>
      <c r="E135">
        <v>-0.24173004000000001</v>
      </c>
      <c r="F135">
        <v>-0.38655052000000001</v>
      </c>
    </row>
    <row r="136" spans="1:6" x14ac:dyDescent="0.3">
      <c r="A136" t="s">
        <v>221</v>
      </c>
      <c r="B136">
        <v>33.277870216306155</v>
      </c>
      <c r="C136">
        <v>2.8808059619316473</v>
      </c>
      <c r="D136">
        <v>-3.4040930815212209</v>
      </c>
      <c r="E136">
        <v>-4.176961484405231</v>
      </c>
      <c r="F136">
        <v>-2.5795430473627836</v>
      </c>
    </row>
    <row r="137" spans="1:6" x14ac:dyDescent="0.3">
      <c r="A137" t="s">
        <v>361</v>
      </c>
      <c r="B137">
        <v>-0.83476582726386483</v>
      </c>
      <c r="C137">
        <v>4.7356820818074912</v>
      </c>
      <c r="D137">
        <v>-7.4443361936469721</v>
      </c>
      <c r="E137">
        <v>15.292627078209003</v>
      </c>
      <c r="F137">
        <v>-5.9265534031858198E-2</v>
      </c>
    </row>
    <row r="138" spans="1:6" x14ac:dyDescent="0.3">
      <c r="A138" t="s">
        <v>362</v>
      </c>
      <c r="B138" s="79">
        <v>99280594</v>
      </c>
      <c r="C138" s="79">
        <v>101601806</v>
      </c>
      <c r="D138" s="79">
        <v>99734102</v>
      </c>
      <c r="E138" s="79">
        <v>108404364</v>
      </c>
      <c r="F138" s="79">
        <v>100414723</v>
      </c>
    </row>
    <row r="139" spans="1:6" x14ac:dyDescent="0.3">
      <c r="A139" t="s">
        <v>363</v>
      </c>
      <c r="B139" s="79">
        <v>56911264</v>
      </c>
      <c r="C139" s="79">
        <v>69692496</v>
      </c>
      <c r="D139" s="79">
        <v>75311019</v>
      </c>
      <c r="E139" s="79">
        <v>76424090</v>
      </c>
      <c r="F139" s="79">
        <v>55220388</v>
      </c>
    </row>
    <row r="140" spans="1:6" x14ac:dyDescent="0.3">
      <c r="A140" t="s">
        <v>364</v>
      </c>
      <c r="B140" s="113">
        <v>41736882</v>
      </c>
      <c r="C140" s="113">
        <v>31117620</v>
      </c>
      <c r="D140" s="113">
        <v>23406935</v>
      </c>
      <c r="E140" s="113">
        <v>30800999</v>
      </c>
      <c r="F140" s="113">
        <v>44042481</v>
      </c>
    </row>
    <row r="141" spans="1:6" x14ac:dyDescent="0.3">
      <c r="A141" t="s">
        <v>66</v>
      </c>
      <c r="B141" s="113">
        <v>913324</v>
      </c>
      <c r="C141" s="113">
        <v>8534715</v>
      </c>
      <c r="D141" s="113">
        <v>-7500370</v>
      </c>
      <c r="E141" s="113">
        <v>-6043251</v>
      </c>
      <c r="F141" s="113">
        <v>-9663763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JORDAN POULTRY PROCESSING &amp; MAR</vt:lpstr>
      <vt:lpstr>DAR AL DAWA DEVELOPMENT &amp; INVES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Jada</dc:creator>
  <cp:lastModifiedBy>OMAR ABDALJALEEL</cp:lastModifiedBy>
  <dcterms:created xsi:type="dcterms:W3CDTF">2024-11-19T06:09:40Z</dcterms:created>
  <dcterms:modified xsi:type="dcterms:W3CDTF">2025-06-22T11:04:02Z</dcterms:modified>
</cp:coreProperties>
</file>