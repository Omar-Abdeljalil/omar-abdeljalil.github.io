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AA9A39-D8E3-45C3-B3AB-9CB4ACFEF78D}" xr6:coauthVersionLast="47" xr6:coauthVersionMax="47" xr10:uidLastSave="{00000000-0000-0000-0000-000000000000}"/>
  <bookViews>
    <workbookView xWindow="0" yWindow="0" windowWidth="13608" windowHeight="12360" xr2:uid="{6E66DB11-CD8A-4FE6-AC5D-232B1820380C}"/>
  </bookViews>
  <sheets>
    <sheet name="Sheet1" sheetId="1" r:id="rId1"/>
  </sheets>
  <definedNames>
    <definedName name="solver_adj" localSheetId="0" hidden="1">Sheet1!$H$2:$H$11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Sheet1!$H$2:$H$11</definedName>
    <definedName name="solver_lhs2" localSheetId="0" hidden="1">Sheet1!#REF!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Sheet1!$G$14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1</definedName>
    <definedName name="solver_rhs1" localSheetId="0" hidden="1">"binary"</definedName>
    <definedName name="solver_rhs2" localSheetId="0" hidden="1">Sheet1!$J$2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G14" i="1" l="1"/>
</calcChain>
</file>

<file path=xl/sharedStrings.xml><?xml version="1.0" encoding="utf-8"?>
<sst xmlns="http://schemas.openxmlformats.org/spreadsheetml/2006/main" count="72" uniqueCount="31">
  <si>
    <t xml:space="preserve">Capacity per trip </t>
  </si>
  <si>
    <t>Max range (km)</t>
  </si>
  <si>
    <t xml:space="preserve">Cost per km </t>
  </si>
  <si>
    <t>request_id</t>
  </si>
  <si>
    <t>pickup_branch</t>
  </si>
  <si>
    <t>delivery_branch</t>
  </si>
  <si>
    <t>number_of_orders</t>
  </si>
  <si>
    <t>Abdoun Branch</t>
  </si>
  <si>
    <t>Shmeisani Branch</t>
  </si>
  <si>
    <t>AL-Rawda Branch</t>
  </si>
  <si>
    <t>Shafa Badran Branch</t>
  </si>
  <si>
    <t>Jabal AL-Hussein Branch</t>
  </si>
  <si>
    <t>Tla' Al-Ali Branch</t>
  </si>
  <si>
    <t>node_name</t>
  </si>
  <si>
    <t>node_type</t>
  </si>
  <si>
    <t>Shmeisani Aramex Office</t>
  </si>
  <si>
    <t>Depot</t>
  </si>
  <si>
    <t>Jubeiha Aramex Office</t>
  </si>
  <si>
    <t>Al-Taj Branch</t>
  </si>
  <si>
    <t>Bank</t>
  </si>
  <si>
    <t>Al-Rawda Branch</t>
  </si>
  <si>
    <t>Tla’ Al-Ali Branch</t>
  </si>
  <si>
    <t>Jabal Al-Hussein Branch</t>
  </si>
  <si>
    <t>Shmesani Branch</t>
  </si>
  <si>
    <t>--</t>
  </si>
  <si>
    <t>Cost_per_trip</t>
  </si>
  <si>
    <t>Trip_Distance_km</t>
  </si>
  <si>
    <t>Total cost (objective)</t>
  </si>
  <si>
    <t>D.V</t>
  </si>
  <si>
    <t>ANY THING WE'VE CALCULATE</t>
  </si>
  <si>
    <t>THE DATA WE'VE 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</si>
</sst>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000000"/>
      <name val="Aptos Narrow"/>
      <family val="2"/>
      <scheme val="minor"/>
    </font>
    <font>
      <b/>
      <sz val="11"/>
      <color rgb="FF5E6268"/>
      <name val="Bliss Pro"/>
    </font>
    <font>
      <b/>
      <sz val="10"/>
      <color rgb="FFE3E3E3"/>
      <name val="Arial"/>
      <family val="2"/>
    </font>
    <font>
      <b/>
      <sz val="11"/>
      <color rgb="FF000000"/>
      <name val="Bliss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DEE2E6"/>
      </top>
      <bottom style="medium">
        <color rgb="FFDEE2E6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 indent="4"/>
    </xf>
    <xf numFmtId="0" fontId="0" fillId="2" borderId="10" xfId="0" applyFill="1" applyBorder="1"/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8" fillId="3" borderId="10" xfId="0" applyFont="1" applyFill="1" applyBorder="1"/>
    <xf numFmtId="0" fontId="8" fillId="3" borderId="10" xfId="0" applyFont="1" applyFill="1" applyBorder="1" applyAlignment="1">
      <alignment horizontal="left" indent="4"/>
    </xf>
    <xf numFmtId="0" fontId="0" fillId="3" borderId="10" xfId="0" applyFill="1" applyBorder="1"/>
    <xf numFmtId="0" fontId="0" fillId="3" borderId="10" xfId="0" applyFill="1" applyBorder="1" applyAlignment="1">
      <alignment horizontal="center"/>
    </xf>
    <xf numFmtId="0" fontId="0" fillId="4" borderId="10" xfId="0" applyFill="1" applyBorder="1"/>
    <xf numFmtId="0" fontId="0" fillId="4" borderId="0" xfId="0" applyFill="1"/>
    <xf numFmtId="0" fontId="0" fillId="2" borderId="10" xfId="0" applyFill="1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indent="4"/>
    </xf>
    <xf numFmtId="178" fontId="0" fillId="3" borderId="10" xfId="0" applyNumberFormat="1" applyFill="1" applyBorder="1" applyAlignment="1">
      <alignment horizontal="left" indent="4"/>
    </xf>
    <xf numFmtId="0" fontId="4" fillId="2" borderId="10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1" fillId="2" borderId="19" xfId="0" applyFont="1" applyFill="1" applyBorder="1"/>
    <xf numFmtId="0" fontId="5" fillId="2" borderId="14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7" fillId="2" borderId="0" xfId="0" applyFont="1" applyFill="1"/>
    <xf numFmtId="0" fontId="2" fillId="2" borderId="1" xfId="0" applyFont="1" applyFill="1" applyBorder="1" applyAlignment="1">
      <alignment horizontal="right" vertical="center" wrapText="1" indent="1" readingOrder="1"/>
    </xf>
    <xf numFmtId="0" fontId="5" fillId="2" borderId="20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right" vertical="center" wrapText="1" indent="1" readingOrder="2"/>
    </xf>
    <xf numFmtId="0" fontId="3" fillId="2" borderId="4" xfId="0" applyFont="1" applyFill="1" applyBorder="1" applyAlignment="1">
      <alignment horizontal="right" vertical="center" wrapText="1" indent="1" readingOrder="2"/>
    </xf>
    <xf numFmtId="0" fontId="3" fillId="2" borderId="1" xfId="0" applyFont="1" applyFill="1" applyBorder="1" applyAlignment="1">
      <alignment horizontal="right" vertical="center" wrapText="1" indent="1" readingOrder="2"/>
    </xf>
    <xf numFmtId="0" fontId="3" fillId="2" borderId="16" xfId="0" applyFont="1" applyFill="1" applyBorder="1" applyAlignment="1">
      <alignment horizontal="right" vertical="center" wrapText="1" indent="1" readingOrder="2"/>
    </xf>
    <xf numFmtId="0" fontId="3" fillId="2" borderId="5" xfId="0" applyFont="1" applyFill="1" applyBorder="1" applyAlignment="1">
      <alignment horizontal="right" vertical="center" wrapText="1" indent="1" readingOrder="2"/>
    </xf>
    <xf numFmtId="0" fontId="3" fillId="2" borderId="6" xfId="0" applyFont="1" applyFill="1" applyBorder="1" applyAlignment="1">
      <alignment horizontal="right" vertical="center" wrapText="1" indent="1" readingOrder="2"/>
    </xf>
    <xf numFmtId="0" fontId="6" fillId="2" borderId="21" xfId="0" applyFont="1" applyFill="1" applyBorder="1"/>
    <xf numFmtId="0" fontId="3" fillId="2" borderId="17" xfId="0" applyFont="1" applyFill="1" applyBorder="1" applyAlignment="1">
      <alignment horizontal="right" vertical="center" wrapText="1" indent="1" readingOrder="2"/>
    </xf>
    <xf numFmtId="0" fontId="3" fillId="2" borderId="7" xfId="0" applyFont="1" applyFill="1" applyBorder="1" applyAlignment="1">
      <alignment horizontal="right" vertical="center" wrapText="1" indent="1" readingOrder="2"/>
    </xf>
    <xf numFmtId="0" fontId="3" fillId="2" borderId="8" xfId="0" applyFont="1" applyFill="1" applyBorder="1" applyAlignment="1">
      <alignment horizontal="right" vertical="center" wrapText="1" indent="1" readingOrder="2"/>
    </xf>
    <xf numFmtId="0" fontId="2" fillId="2" borderId="18" xfId="0" applyFont="1" applyFill="1" applyBorder="1" applyAlignment="1">
      <alignment horizontal="right" vertical="center" wrapText="1" indent="1" readingOrder="1"/>
    </xf>
    <xf numFmtId="0" fontId="1" fillId="5" borderId="15" xfId="0" applyFont="1" applyFill="1" applyBorder="1"/>
    <xf numFmtId="0" fontId="1" fillId="5" borderId="0" xfId="0" applyFont="1" applyFill="1"/>
    <xf numFmtId="0" fontId="3" fillId="5" borderId="1" xfId="0" applyFont="1" applyFill="1" applyBorder="1" applyAlignment="1">
      <alignment horizontal="right" vertical="center" wrapText="1" indent="1" readingOrder="2"/>
    </xf>
    <xf numFmtId="0" fontId="1" fillId="5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E775-394F-49B9-BB3B-848B0557B119}">
  <dimension ref="A1:U20"/>
  <sheetViews>
    <sheetView tabSelected="1" zoomScale="54" workbookViewId="0">
      <selection activeCell="J25" sqref="J25"/>
    </sheetView>
  </sheetViews>
  <sheetFormatPr defaultRowHeight="14.4" x14ac:dyDescent="0.3"/>
  <cols>
    <col min="1" max="1" width="20.77734375" customWidth="1"/>
    <col min="2" max="2" width="23.6640625" customWidth="1"/>
    <col min="3" max="3" width="30.88671875" customWidth="1"/>
    <col min="4" max="4" width="39.21875" customWidth="1"/>
    <col min="5" max="5" width="12.77734375" bestFit="1" customWidth="1"/>
    <col min="6" max="6" width="16" bestFit="1" customWidth="1"/>
    <col min="7" max="7" width="23.44140625" style="1" customWidth="1"/>
    <col min="8" max="8" width="7.5546875" bestFit="1" customWidth="1"/>
    <col min="9" max="9" width="31.5546875" customWidth="1"/>
    <col min="10" max="10" width="22.88671875" customWidth="1"/>
    <col min="11" max="11" width="0.5546875" customWidth="1"/>
    <col min="12" max="12" width="0.88671875" customWidth="1"/>
    <col min="13" max="13" width="22.88671875" bestFit="1" customWidth="1"/>
    <col min="14" max="14" width="16.109375" bestFit="1" customWidth="1"/>
    <col min="15" max="15" width="18.33203125" bestFit="1" customWidth="1"/>
    <col min="16" max="16" width="18.5546875" bestFit="1" customWidth="1"/>
    <col min="17" max="17" width="17.77734375" bestFit="1" customWidth="1"/>
    <col min="18" max="18" width="25.77734375" bestFit="1" customWidth="1"/>
    <col min="19" max="19" width="25.33203125" customWidth="1"/>
    <col min="20" max="20" width="26.21875" bestFit="1" customWidth="1"/>
    <col min="21" max="21" width="24.5546875" bestFit="1" customWidth="1"/>
    <col min="22" max="22" width="15.77734375" customWidth="1"/>
    <col min="24" max="24" width="25.44140625" customWidth="1"/>
  </cols>
  <sheetData>
    <row r="1" spans="1:21" ht="28.2" thickBot="1" x14ac:dyDescent="0.35">
      <c r="A1" s="17" t="s">
        <v>3</v>
      </c>
      <c r="B1" s="17" t="s">
        <v>4</v>
      </c>
      <c r="C1" s="17" t="s">
        <v>5</v>
      </c>
      <c r="D1" s="17" t="s">
        <v>6</v>
      </c>
      <c r="F1" s="5" t="s">
        <v>26</v>
      </c>
      <c r="G1" s="6" t="s">
        <v>25</v>
      </c>
      <c r="H1" s="12" t="s">
        <v>28</v>
      </c>
      <c r="I1" s="2" t="s">
        <v>0</v>
      </c>
      <c r="J1" s="11">
        <v>2</v>
      </c>
      <c r="M1" s="19"/>
      <c r="N1" s="20" t="s">
        <v>7</v>
      </c>
      <c r="O1" s="21" t="s">
        <v>23</v>
      </c>
      <c r="P1" s="21" t="s">
        <v>9</v>
      </c>
      <c r="Q1" s="21" t="s">
        <v>12</v>
      </c>
      <c r="R1" s="21" t="s">
        <v>11</v>
      </c>
      <c r="S1" s="21" t="s">
        <v>10</v>
      </c>
      <c r="T1" s="22" t="s">
        <v>15</v>
      </c>
      <c r="U1" s="23" t="s">
        <v>17</v>
      </c>
    </row>
    <row r="2" spans="1:21" ht="15" thickBot="1" x14ac:dyDescent="0.35">
      <c r="A2" s="18">
        <v>1</v>
      </c>
      <c r="B2" s="18" t="s">
        <v>7</v>
      </c>
      <c r="C2" s="18" t="s">
        <v>8</v>
      </c>
      <c r="D2" s="18">
        <v>5</v>
      </c>
      <c r="F2" s="8">
        <f>INDEX($N$2:$U$9,MATCH("Shmeisani Aramex Office",$M$2:$M$9,0),MATCH(B2,$N$1:$U$1,0))</f>
        <v>3</v>
      </c>
      <c r="G2" s="8">
        <f>F2*$J$3*D2</f>
        <v>7.5</v>
      </c>
      <c r="H2" s="12">
        <v>0</v>
      </c>
      <c r="I2" s="2" t="s">
        <v>1</v>
      </c>
      <c r="J2" s="11">
        <v>30</v>
      </c>
      <c r="M2" s="24" t="s">
        <v>7</v>
      </c>
      <c r="N2" s="36" t="s">
        <v>24</v>
      </c>
      <c r="O2" s="25">
        <v>2.6</v>
      </c>
      <c r="P2" s="25">
        <v>5.5</v>
      </c>
      <c r="Q2" s="25">
        <v>4.5</v>
      </c>
      <c r="R2" s="25">
        <v>3.5</v>
      </c>
      <c r="S2" s="25">
        <v>11.2</v>
      </c>
      <c r="T2" s="26">
        <v>3</v>
      </c>
      <c r="U2" s="27">
        <v>9.5</v>
      </c>
    </row>
    <row r="3" spans="1:21" ht="15" thickBot="1" x14ac:dyDescent="0.35">
      <c r="A3" s="18">
        <v>2</v>
      </c>
      <c r="B3" s="18" t="s">
        <v>9</v>
      </c>
      <c r="C3" s="18" t="s">
        <v>8</v>
      </c>
      <c r="D3" s="18">
        <v>5</v>
      </c>
      <c r="F3" s="8">
        <f t="shared" ref="F3:F11" si="0">INDEX($N$2:$U$9,MATCH("Shmeisani Aramex Office",$M$2:$M$9,0),MATCH(B3,$N$1:$U$1,0))</f>
        <v>4.9000000000000004</v>
      </c>
      <c r="G3" s="8">
        <f>F3*$J$3*D3</f>
        <v>12.25</v>
      </c>
      <c r="H3" s="12">
        <v>0</v>
      </c>
      <c r="I3" s="2" t="s">
        <v>2</v>
      </c>
      <c r="J3" s="11">
        <v>0.5</v>
      </c>
      <c r="M3" s="24" t="s">
        <v>23</v>
      </c>
      <c r="N3" s="28">
        <v>2.6</v>
      </c>
      <c r="O3" s="37" t="s">
        <v>24</v>
      </c>
      <c r="P3" s="27">
        <v>4.0999999999999996</v>
      </c>
      <c r="Q3" s="27">
        <v>3.8</v>
      </c>
      <c r="R3" s="27">
        <v>1.6</v>
      </c>
      <c r="S3" s="27">
        <v>8.8000000000000007</v>
      </c>
      <c r="T3" s="29">
        <v>0.2</v>
      </c>
      <c r="U3" s="27">
        <v>8.4</v>
      </c>
    </row>
    <row r="4" spans="1:21" ht="15" thickBot="1" x14ac:dyDescent="0.35">
      <c r="A4" s="18">
        <v>3</v>
      </c>
      <c r="B4" s="18" t="s">
        <v>10</v>
      </c>
      <c r="C4" s="18" t="s">
        <v>11</v>
      </c>
      <c r="D4" s="18">
        <v>2</v>
      </c>
      <c r="F4" s="8">
        <f t="shared" si="0"/>
        <v>8.6999999999999993</v>
      </c>
      <c r="G4" s="8">
        <f>F4*$J$3*D4</f>
        <v>8.6999999999999993</v>
      </c>
      <c r="H4" s="12">
        <v>0</v>
      </c>
      <c r="I4" s="9"/>
      <c r="J4" s="9"/>
      <c r="M4" s="24" t="s">
        <v>9</v>
      </c>
      <c r="N4" s="28">
        <v>5.5</v>
      </c>
      <c r="O4" s="27">
        <v>4.0999999999999996</v>
      </c>
      <c r="P4" s="37" t="s">
        <v>24</v>
      </c>
      <c r="Q4" s="27">
        <v>1.8</v>
      </c>
      <c r="R4" s="27">
        <v>5.3</v>
      </c>
      <c r="S4" s="27">
        <v>6.4</v>
      </c>
      <c r="T4" s="29">
        <v>4.9000000000000004</v>
      </c>
      <c r="U4" s="27">
        <v>3.5</v>
      </c>
    </row>
    <row r="5" spans="1:21" ht="15" thickBot="1" x14ac:dyDescent="0.35">
      <c r="A5" s="18">
        <v>4</v>
      </c>
      <c r="B5" s="18" t="s">
        <v>7</v>
      </c>
      <c r="C5" s="18" t="s">
        <v>12</v>
      </c>
      <c r="D5" s="18">
        <v>5</v>
      </c>
      <c r="F5" s="8">
        <f t="shared" si="0"/>
        <v>3</v>
      </c>
      <c r="G5" s="8">
        <f>F5*$J$3*D5</f>
        <v>7.5</v>
      </c>
      <c r="H5" s="12">
        <v>0</v>
      </c>
      <c r="I5" s="3" t="s">
        <v>13</v>
      </c>
      <c r="J5" s="4" t="s">
        <v>14</v>
      </c>
      <c r="M5" s="24" t="s">
        <v>12</v>
      </c>
      <c r="N5" s="28">
        <v>4.5</v>
      </c>
      <c r="O5" s="27">
        <v>3.8</v>
      </c>
      <c r="P5" s="27">
        <v>1.8</v>
      </c>
      <c r="Q5" s="37" t="s">
        <v>24</v>
      </c>
      <c r="R5" s="27">
        <v>5.2</v>
      </c>
      <c r="S5" s="27">
        <v>8.1</v>
      </c>
      <c r="T5" s="29">
        <v>4</v>
      </c>
      <c r="U5" s="27">
        <v>4.5999999999999996</v>
      </c>
    </row>
    <row r="6" spans="1:21" ht="28.2" thickBot="1" x14ac:dyDescent="0.35">
      <c r="A6" s="18">
        <v>5</v>
      </c>
      <c r="B6" s="18" t="s">
        <v>10</v>
      </c>
      <c r="C6" s="18" t="s">
        <v>11</v>
      </c>
      <c r="D6" s="18">
        <v>7</v>
      </c>
      <c r="F6" s="8">
        <f t="shared" si="0"/>
        <v>8.6999999999999993</v>
      </c>
      <c r="G6" s="8">
        <f>F6*$J$3*D6</f>
        <v>30.449999999999996</v>
      </c>
      <c r="H6" s="12">
        <v>1</v>
      </c>
      <c r="I6" s="15" t="s">
        <v>15</v>
      </c>
      <c r="J6" s="16" t="s">
        <v>16</v>
      </c>
      <c r="M6" s="24" t="s">
        <v>11</v>
      </c>
      <c r="N6" s="28">
        <v>3.5</v>
      </c>
      <c r="O6" s="27">
        <v>1.6</v>
      </c>
      <c r="P6" s="27">
        <v>5.3</v>
      </c>
      <c r="Q6" s="27">
        <v>5.2</v>
      </c>
      <c r="R6" s="37" t="s">
        <v>24</v>
      </c>
      <c r="S6" s="27">
        <v>9.1</v>
      </c>
      <c r="T6" s="29">
        <v>1.6</v>
      </c>
      <c r="U6" s="27">
        <v>10.1</v>
      </c>
    </row>
    <row r="7" spans="1:21" ht="28.2" thickBot="1" x14ac:dyDescent="0.35">
      <c r="A7" s="18">
        <v>6</v>
      </c>
      <c r="B7" s="18" t="s">
        <v>11</v>
      </c>
      <c r="C7" s="18" t="s">
        <v>12</v>
      </c>
      <c r="D7" s="18">
        <v>3</v>
      </c>
      <c r="F7" s="8">
        <f t="shared" si="0"/>
        <v>1.6</v>
      </c>
      <c r="G7" s="8">
        <f>F7*$J$3*D7</f>
        <v>2.4000000000000004</v>
      </c>
      <c r="H7" s="12">
        <v>0</v>
      </c>
      <c r="I7" s="15" t="s">
        <v>17</v>
      </c>
      <c r="J7" s="16" t="s">
        <v>16</v>
      </c>
      <c r="M7" s="24" t="s">
        <v>10</v>
      </c>
      <c r="N7" s="28">
        <v>11.2</v>
      </c>
      <c r="O7" s="27">
        <v>8.8000000000000007</v>
      </c>
      <c r="P7" s="27">
        <v>6.4</v>
      </c>
      <c r="Q7" s="27">
        <v>8.1</v>
      </c>
      <c r="R7" s="27">
        <v>9.1</v>
      </c>
      <c r="S7" s="37" t="s">
        <v>24</v>
      </c>
      <c r="T7" s="30">
        <v>8.6999999999999993</v>
      </c>
      <c r="U7" s="27">
        <v>6.1</v>
      </c>
    </row>
    <row r="8" spans="1:21" ht="15" thickBot="1" x14ac:dyDescent="0.35">
      <c r="A8" s="18">
        <v>7</v>
      </c>
      <c r="B8" s="18" t="s">
        <v>9</v>
      </c>
      <c r="C8" s="18" t="s">
        <v>7</v>
      </c>
      <c r="D8" s="18">
        <v>4</v>
      </c>
      <c r="F8" s="8">
        <f t="shared" si="0"/>
        <v>4.9000000000000004</v>
      </c>
      <c r="G8" s="8">
        <f>F8*$J$3*D8</f>
        <v>9.8000000000000007</v>
      </c>
      <c r="H8" s="12">
        <v>0</v>
      </c>
      <c r="I8" s="15" t="s">
        <v>18</v>
      </c>
      <c r="J8" s="16" t="s">
        <v>19</v>
      </c>
      <c r="M8" s="31" t="s">
        <v>15</v>
      </c>
      <c r="N8" s="32">
        <v>3</v>
      </c>
      <c r="O8" s="33">
        <v>0.2</v>
      </c>
      <c r="P8" s="33">
        <v>4.9000000000000004</v>
      </c>
      <c r="Q8" s="33">
        <v>4</v>
      </c>
      <c r="R8" s="33">
        <v>1.6</v>
      </c>
      <c r="S8" s="34">
        <v>8.6999999999999993</v>
      </c>
      <c r="T8" s="39" t="s">
        <v>24</v>
      </c>
      <c r="U8" s="27">
        <v>8.3000000000000007</v>
      </c>
    </row>
    <row r="9" spans="1:21" ht="28.2" thickBot="1" x14ac:dyDescent="0.35">
      <c r="A9" s="18">
        <v>8</v>
      </c>
      <c r="B9" s="18" t="s">
        <v>11</v>
      </c>
      <c r="C9" s="18" t="s">
        <v>10</v>
      </c>
      <c r="D9" s="18">
        <v>6</v>
      </c>
      <c r="F9" s="8">
        <f t="shared" si="0"/>
        <v>1.6</v>
      </c>
      <c r="G9" s="8">
        <f>F9*$J$3*D9</f>
        <v>4.8000000000000007</v>
      </c>
      <c r="H9" s="12">
        <v>0</v>
      </c>
      <c r="I9" s="15" t="s">
        <v>8</v>
      </c>
      <c r="J9" s="16" t="s">
        <v>19</v>
      </c>
      <c r="M9" s="35" t="s">
        <v>17</v>
      </c>
      <c r="N9" s="27">
        <v>9.5</v>
      </c>
      <c r="O9" s="27">
        <v>8.4</v>
      </c>
      <c r="P9" s="27">
        <v>3.5</v>
      </c>
      <c r="Q9" s="27">
        <v>4.5999999999999996</v>
      </c>
      <c r="R9" s="27">
        <v>10.1</v>
      </c>
      <c r="S9" s="27">
        <v>6.1</v>
      </c>
      <c r="T9" s="27">
        <v>8.3000000000000007</v>
      </c>
      <c r="U9" s="38">
        <v>0</v>
      </c>
    </row>
    <row r="10" spans="1:21" ht="28.2" thickBot="1" x14ac:dyDescent="0.35">
      <c r="A10" s="18">
        <v>9</v>
      </c>
      <c r="B10" s="18" t="s">
        <v>11</v>
      </c>
      <c r="C10" s="18" t="s">
        <v>8</v>
      </c>
      <c r="D10" s="18">
        <v>8</v>
      </c>
      <c r="F10" s="8">
        <f t="shared" si="0"/>
        <v>1.6</v>
      </c>
      <c r="G10" s="8">
        <f>F10*$J$3*D10</f>
        <v>6.4</v>
      </c>
      <c r="H10" s="12">
        <v>0</v>
      </c>
      <c r="I10" s="15" t="s">
        <v>20</v>
      </c>
      <c r="J10" s="16" t="s">
        <v>19</v>
      </c>
    </row>
    <row r="11" spans="1:21" ht="15" thickBot="1" x14ac:dyDescent="0.35">
      <c r="A11" s="18">
        <v>10</v>
      </c>
      <c r="B11" s="18" t="s">
        <v>9</v>
      </c>
      <c r="C11" s="18" t="s">
        <v>7</v>
      </c>
      <c r="D11" s="18">
        <v>6</v>
      </c>
      <c r="F11" s="8">
        <f t="shared" si="0"/>
        <v>4.9000000000000004</v>
      </c>
      <c r="G11" s="8">
        <f>F11*$J$3*D11</f>
        <v>14.700000000000001</v>
      </c>
      <c r="H11" s="12">
        <v>0</v>
      </c>
      <c r="I11" s="15" t="s">
        <v>21</v>
      </c>
      <c r="J11" s="16" t="s">
        <v>19</v>
      </c>
    </row>
    <row r="12" spans="1:21" x14ac:dyDescent="0.3">
      <c r="I12" s="15" t="s">
        <v>22</v>
      </c>
      <c r="J12" s="16" t="s">
        <v>19</v>
      </c>
    </row>
    <row r="13" spans="1:21" x14ac:dyDescent="0.3">
      <c r="G13" s="13" t="s">
        <v>27</v>
      </c>
      <c r="I13" s="10"/>
    </row>
    <row r="14" spans="1:21" x14ac:dyDescent="0.3">
      <c r="G14" s="14">
        <f>SUM(G2:G11)</f>
        <v>104.50000000000001</v>
      </c>
      <c r="I14" s="10"/>
    </row>
    <row r="19" spans="4:4" x14ac:dyDescent="0.3">
      <c r="D19" s="7" t="s">
        <v>29</v>
      </c>
    </row>
    <row r="20" spans="4:4" x14ac:dyDescent="0.3">
      <c r="D20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KOKASH</dc:creator>
  <cp:lastModifiedBy>MOHD DARWISH</cp:lastModifiedBy>
  <dcterms:created xsi:type="dcterms:W3CDTF">2026-01-23T14:55:16Z</dcterms:created>
  <dcterms:modified xsi:type="dcterms:W3CDTF">2026-01-23T17:55:35Z</dcterms:modified>
</cp:coreProperties>
</file>